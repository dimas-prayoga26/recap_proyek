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K9" sheetId="2" r:id="rId5"/>
    <sheet state="visible" name="K8" sheetId="3" r:id="rId6"/>
    <sheet state="visible" name="C21" sheetId="4" r:id="rId7"/>
    <sheet state="visible" name="Kebutuhan" sheetId="5" r:id="rId8"/>
  </sheets>
  <definedNames>
    <definedName hidden="1" localSheetId="0" name="_xlnm._FilterDatabase">Rekap!$A$2:$L$183</definedName>
  </definedNames>
  <calcPr/>
  <extLst>
    <ext uri="GoogleSheetsCustomDataVersion2">
      <go:sheetsCustomData xmlns:go="http://customooxmlschemas.google.com/" r:id="rId9" roundtripDataChecksum="IIng1Gnhm1rh9qtPOv9rTlrd/XgPKKJuBa/Mr6zi8Og="/>
    </ext>
  </extLst>
</workbook>
</file>

<file path=xl/sharedStrings.xml><?xml version="1.0" encoding="utf-8"?>
<sst xmlns="http://schemas.openxmlformats.org/spreadsheetml/2006/main" count="1406" uniqueCount="702">
  <si>
    <t>Pekerjaan</t>
  </si>
  <si>
    <t>Brand</t>
  </si>
  <si>
    <t>Penawaran</t>
  </si>
  <si>
    <t>Pembayaran 1</t>
  </si>
  <si>
    <t>Rupiah</t>
  </si>
  <si>
    <t>Pembayaran 2</t>
  </si>
  <si>
    <t>Pembayaran 3</t>
  </si>
  <si>
    <t>Pembayaran 4</t>
  </si>
  <si>
    <t>Pembayaran 5</t>
  </si>
  <si>
    <t>Dollar USD</t>
  </si>
  <si>
    <t>Sisa</t>
  </si>
  <si>
    <t>Total Sudah Dibayar</t>
  </si>
  <si>
    <t>Pembayaran 6</t>
  </si>
  <si>
    <t>Pembayaran 7</t>
  </si>
  <si>
    <t>Pembayaran 8</t>
  </si>
  <si>
    <t>Tanggal</t>
  </si>
  <si>
    <t>USD</t>
  </si>
  <si>
    <t>Nama</t>
  </si>
  <si>
    <t>Kode Area</t>
  </si>
  <si>
    <t>Uang Masuk</t>
  </si>
  <si>
    <t>Kusen dan Pintu Utama</t>
  </si>
  <si>
    <t>Uang Keluar</t>
  </si>
  <si>
    <t>Saldo</t>
  </si>
  <si>
    <t xml:space="preserve">Allure </t>
  </si>
  <si>
    <t>Pekerjaan AC Ruangan</t>
  </si>
  <si>
    <t>Uang Marmer</t>
  </si>
  <si>
    <t>Daikin</t>
  </si>
  <si>
    <t>K9</t>
  </si>
  <si>
    <t xml:space="preserve">Uang Masuk </t>
  </si>
  <si>
    <t>Interior Design K9</t>
  </si>
  <si>
    <t>Sarita</t>
  </si>
  <si>
    <t>Pekerjaan AC Kamar</t>
  </si>
  <si>
    <t>Gree</t>
  </si>
  <si>
    <t>DP Marmer</t>
  </si>
  <si>
    <t>Pekerjaan Cat Ruangan</t>
  </si>
  <si>
    <t>Tukang</t>
  </si>
  <si>
    <t>Perbaikan Lampu</t>
  </si>
  <si>
    <t>Arsitek Design K9</t>
  </si>
  <si>
    <t>Tukang Shopee</t>
  </si>
  <si>
    <t>DP Alure</t>
  </si>
  <si>
    <t xml:space="preserve">Manthra </t>
  </si>
  <si>
    <t>Kusen dan Pintu Pendukung</t>
  </si>
  <si>
    <t>Astral 1</t>
  </si>
  <si>
    <t>Bayar UPVC</t>
  </si>
  <si>
    <t>Disain Taman</t>
  </si>
  <si>
    <t>Dhona</t>
  </si>
  <si>
    <t>Perbaikan Interior</t>
  </si>
  <si>
    <t>rumahgue.id</t>
  </si>
  <si>
    <t>Kusen dan Pintu Tambahan</t>
  </si>
  <si>
    <t>Astral Aplikator</t>
  </si>
  <si>
    <t>Tukar menjadi Rupiah</t>
  </si>
  <si>
    <t>Pembuatan Pager Kemang</t>
  </si>
  <si>
    <t>Kusen dan Pintu Kayu Lantai 1 dan 2</t>
  </si>
  <si>
    <t>Asherindo SM</t>
  </si>
  <si>
    <t>Pembelian Pohon</t>
  </si>
  <si>
    <t>Akmal</t>
  </si>
  <si>
    <t>Kusen dan Pintu Kayu Lantai 3</t>
  </si>
  <si>
    <t>DP UPVC Tahap 1</t>
  </si>
  <si>
    <t>C21</t>
  </si>
  <si>
    <t>Tambahan Kusen dan Pintu Kayu Lantai 1 dan 2</t>
  </si>
  <si>
    <t>Pembelian Sanitary</t>
  </si>
  <si>
    <t>Toto</t>
  </si>
  <si>
    <t>Pembelian Keramik</t>
  </si>
  <si>
    <t>Roman</t>
  </si>
  <si>
    <t>Uang masuk Tukar 30.100 USD</t>
  </si>
  <si>
    <t>Pelunasan Allure</t>
  </si>
  <si>
    <t>Pekerjaan Paving depan</t>
  </si>
  <si>
    <t>Sentracon</t>
  </si>
  <si>
    <t>Aksesoris Engsel Pintu</t>
  </si>
  <si>
    <t>Bayar AC Daikin DP 30%</t>
  </si>
  <si>
    <t>Pekerjaan Perapihan Taman</t>
  </si>
  <si>
    <t>Tambah Aksesoris Engsel Pintu</t>
  </si>
  <si>
    <t>PPSU</t>
  </si>
  <si>
    <t xml:space="preserve">Pekerjaan AC </t>
  </si>
  <si>
    <t>Pembelian Batu dan Pasang</t>
  </si>
  <si>
    <t>Mughni</t>
  </si>
  <si>
    <t>Lantai Kamar Utama dan Anak</t>
  </si>
  <si>
    <t>Pemasangan Kayu</t>
  </si>
  <si>
    <t>Pekerjaan Lift</t>
  </si>
  <si>
    <t>Schindler</t>
  </si>
  <si>
    <t>Kramik Kamar Mandi, Garasi, Teras</t>
  </si>
  <si>
    <t>Gaji Tukang</t>
  </si>
  <si>
    <t>Pekerjaan Panel Surya</t>
  </si>
  <si>
    <t>Pembayaran Tahap 2 UPVC</t>
  </si>
  <si>
    <t>Pemasangan Batu Tabur Pendopo</t>
  </si>
  <si>
    <t>Kadir</t>
  </si>
  <si>
    <t>Cat Tembok</t>
  </si>
  <si>
    <t>Plafond Area Lt 1 dan 2</t>
  </si>
  <si>
    <t>Mandala Plafond</t>
  </si>
  <si>
    <t>Pembuatan Jembatan</t>
  </si>
  <si>
    <t>Dedi</t>
  </si>
  <si>
    <t>Plamir Tambahan</t>
  </si>
  <si>
    <t>Solar Heater</t>
  </si>
  <si>
    <t>Pembuatan Pager Tanaman</t>
  </si>
  <si>
    <t>Starlink Internet</t>
  </si>
  <si>
    <t>Plafond Area Lt 3</t>
  </si>
  <si>
    <t>Saklar dan Colokan Snider</t>
  </si>
  <si>
    <t>Pembuatan Fasad</t>
  </si>
  <si>
    <t>Soni</t>
  </si>
  <si>
    <t>Plafond Tenda Teras Kolam Renang</t>
  </si>
  <si>
    <t>Plafond Tambahan Revisi</t>
  </si>
  <si>
    <t>DP Lift Schindler</t>
  </si>
  <si>
    <t>Plafond Area Service</t>
  </si>
  <si>
    <t>Bahan Pasang Listrik dan Lampu</t>
  </si>
  <si>
    <t>Iwan</t>
  </si>
  <si>
    <t>DP Interior Ruang utama</t>
  </si>
  <si>
    <t>Plafond Attic Room Lantai 3</t>
  </si>
  <si>
    <t>Pembayaran Tahap 3 UPVC</t>
  </si>
  <si>
    <t>Plafond Tambahan Tiang Attic Room</t>
  </si>
  <si>
    <t>Handle Pintu Belakang Bardi</t>
  </si>
  <si>
    <t>Pembelian TV</t>
  </si>
  <si>
    <t>Hartono Mall</t>
  </si>
  <si>
    <t>Special Lighting Fasad dan Ruang Tamu</t>
  </si>
  <si>
    <t>Galaxindo</t>
  </si>
  <si>
    <t>Ongkos Pasang</t>
  </si>
  <si>
    <t>Special Lighting General Room</t>
  </si>
  <si>
    <t>Sena Lighting</t>
  </si>
  <si>
    <t>Handle Pintu Utama Bardi</t>
  </si>
  <si>
    <t>Sound System Cilling</t>
  </si>
  <si>
    <t>Bose Distributor</t>
  </si>
  <si>
    <t>CCTV</t>
  </si>
  <si>
    <t>Pembayaran Listrik Januari</t>
  </si>
  <si>
    <t>Cat ruang dalam</t>
  </si>
  <si>
    <t>Internet Indihome</t>
  </si>
  <si>
    <t>Pembayaran Listrik Februari</t>
  </si>
  <si>
    <t>Sink Dapur Bersih</t>
  </si>
  <si>
    <t>Kaca Sky Light Attic Room</t>
  </si>
  <si>
    <t>Kanopi Besi Koridor Samping Lt 3</t>
  </si>
  <si>
    <t>Satria Maju Bersama</t>
  </si>
  <si>
    <t>Sink Dapur Kotor</t>
  </si>
  <si>
    <t>Kanopi Kaca Koridor Samping Lt 3</t>
  </si>
  <si>
    <t>Goel</t>
  </si>
  <si>
    <t xml:space="preserve">Lantai Kamar Utama </t>
  </si>
  <si>
    <t>Kanopi Besi Koridor Samping Lt 2</t>
  </si>
  <si>
    <t>Dedi Besi</t>
  </si>
  <si>
    <t>Railling Tangga Depan</t>
  </si>
  <si>
    <t>Railling Tangga Belakang</t>
  </si>
  <si>
    <t xml:space="preserve">Water Heater </t>
  </si>
  <si>
    <t>Wika WH</t>
  </si>
  <si>
    <t>DP UPVC Tahap 4</t>
  </si>
  <si>
    <t>Pagar Depan</t>
  </si>
  <si>
    <t>Pembelin silent</t>
  </si>
  <si>
    <t>Cover Ruang Gym Lantai 2</t>
  </si>
  <si>
    <t>Uang Masuk Rupiah</t>
  </si>
  <si>
    <t>Railing Balkon Lantai 3</t>
  </si>
  <si>
    <t>Kanopi Ruang Utillity</t>
  </si>
  <si>
    <t>Pengerjaan Batu Aksesoris</t>
  </si>
  <si>
    <t xml:space="preserve">Uang Masuk Tukar $ 19.900 </t>
  </si>
  <si>
    <t>Pekerjaan Lantai (ADP Marmer)</t>
  </si>
  <si>
    <t>DP infinity Kramik</t>
  </si>
  <si>
    <t>Lantai Ruang Tamu lt 1 dan Tangga</t>
  </si>
  <si>
    <t>Marmer Bianco Calini + Hermes dark Grey</t>
  </si>
  <si>
    <t>Pembelian Cat Luar</t>
  </si>
  <si>
    <t>Ongkos Pasang Tambahan</t>
  </si>
  <si>
    <t>Lantai Teras depan dan Powder Room</t>
  </si>
  <si>
    <t>Travertine White Onyx + Granit Viscon White</t>
  </si>
  <si>
    <t>Pelunasan AC</t>
  </si>
  <si>
    <t>Lantai Function Room + Kamar Tamu</t>
  </si>
  <si>
    <t>Statuariotto + Hermes dark Gray</t>
  </si>
  <si>
    <t>Pembayaran Interior tahap 2</t>
  </si>
  <si>
    <t>Lantai Rooftop</t>
  </si>
  <si>
    <t>Andesit Batu</t>
  </si>
  <si>
    <t>Pekerjaan Lantai (Infinity Stone)</t>
  </si>
  <si>
    <t>Shower Box Semua kamar mandi</t>
  </si>
  <si>
    <t>General Floor lt 3</t>
  </si>
  <si>
    <t>Infinity Crystal Ice</t>
  </si>
  <si>
    <t>Penambahan Interior</t>
  </si>
  <si>
    <t>Kamar Tamu lt 2 + Kamar Mandi</t>
  </si>
  <si>
    <t>Infinity Hermitage</t>
  </si>
  <si>
    <t>Pembelian Keran Sink Pantry</t>
  </si>
  <si>
    <t>Kamar Mandi Tamu lt 1</t>
  </si>
  <si>
    <t>Infinity Orro</t>
  </si>
  <si>
    <t>Musolah</t>
  </si>
  <si>
    <t>Infinity Peacock</t>
  </si>
  <si>
    <t>Tambahan Infinity</t>
  </si>
  <si>
    <t>All Varian</t>
  </si>
  <si>
    <t>Motor Listrik</t>
  </si>
  <si>
    <t>Lainnya</t>
  </si>
  <si>
    <t>Tambahan Granit Perpustakaan</t>
  </si>
  <si>
    <t>Granit</t>
  </si>
  <si>
    <t>Pekerjaan Lantai (Hamparan Stone)</t>
  </si>
  <si>
    <t>Ruang Kerja</t>
  </si>
  <si>
    <t>Arabescato Greco</t>
  </si>
  <si>
    <t>Kramik Tambahan</t>
  </si>
  <si>
    <t>Pelunasan Interior</t>
  </si>
  <si>
    <t>Tangga Ruang Private</t>
  </si>
  <si>
    <t>Arabescato Greco + Light Pearl</t>
  </si>
  <si>
    <t>Pembuatan Jendela KM</t>
  </si>
  <si>
    <t>Kamar Utama</t>
  </si>
  <si>
    <t>New Moon Cream</t>
  </si>
  <si>
    <t>Lobby Private dan Lobby Lift lt 1</t>
  </si>
  <si>
    <t>Perla White + Black Zebra</t>
  </si>
  <si>
    <t>Tambahan Black Zebra</t>
  </si>
  <si>
    <t>Pembuatan Jendela dan Pintu ART</t>
  </si>
  <si>
    <t>Black Zebra</t>
  </si>
  <si>
    <t>Beli Smar Lock Kamar Utama</t>
  </si>
  <si>
    <t>Colokan Tambahan Kamar Utama</t>
  </si>
  <si>
    <t>Lantai Selasar lt 2 mozaik</t>
  </si>
  <si>
    <t>Mozaik custom</t>
  </si>
  <si>
    <t>Beli Cat luar</t>
  </si>
  <si>
    <t>Ongkos Pola</t>
  </si>
  <si>
    <t>Mesin Kolam renang</t>
  </si>
  <si>
    <t xml:space="preserve">CCTV </t>
  </si>
  <si>
    <t>Lantai Family Room dan Lobby Lift 2</t>
  </si>
  <si>
    <t>Grey Marbel + Murato Black</t>
  </si>
  <si>
    <t>DP Astral</t>
  </si>
  <si>
    <t>Lantai Koridor Maroco</t>
  </si>
  <si>
    <t>DP Lemari Laundry Room</t>
  </si>
  <si>
    <t>Jasmine White</t>
  </si>
  <si>
    <t xml:space="preserve">Lemari Laundry Room </t>
  </si>
  <si>
    <t>Pembayaran DP AC Daikin</t>
  </si>
  <si>
    <t>Ongkos Pasang Hand Rail</t>
  </si>
  <si>
    <t>Pelunasan Interior Laundy Room</t>
  </si>
  <si>
    <t>Pembersihan Kolam Renang</t>
  </si>
  <si>
    <t>Lantai/Dinding Master Bathroom</t>
  </si>
  <si>
    <t>Pengerjaan Kanopi Belakang</t>
  </si>
  <si>
    <t>Moon Cream</t>
  </si>
  <si>
    <t>Pembelian Lampu Taman</t>
  </si>
  <si>
    <t>Bell Rumah</t>
  </si>
  <si>
    <t>Kipas Angin ruang ART</t>
  </si>
  <si>
    <t>Pekerjaan Lantai Marmer Sisa</t>
  </si>
  <si>
    <t>Ongkos Pasang KM R. Kerja</t>
  </si>
  <si>
    <t>Pembayaran Tahap 2 Interior</t>
  </si>
  <si>
    <t>Ongkos Pasang Tangga Taman</t>
  </si>
  <si>
    <t>Ongkos Pasang Koridor Storage lt 2</t>
  </si>
  <si>
    <t>Door closer</t>
  </si>
  <si>
    <t>Pekerjaan Lantai (Sehati Kramik)</t>
  </si>
  <si>
    <t>Listrik C21</t>
  </si>
  <si>
    <t>Lantai Garasi dan Area Service</t>
  </si>
  <si>
    <t>Granite Tile</t>
  </si>
  <si>
    <t>DP Kabinet Master Bedroom</t>
  </si>
  <si>
    <t>Ppf Lexus</t>
  </si>
  <si>
    <t>Kramik Lantai KM Tamu dan Ibu</t>
  </si>
  <si>
    <t>Lantai Kamar Mandi Lt 3</t>
  </si>
  <si>
    <t>Meals</t>
  </si>
  <si>
    <t>Kramik Mozaik</t>
  </si>
  <si>
    <t>Masuk 100.000 SGD</t>
  </si>
  <si>
    <t>Keramik Tambahan KM lt 3</t>
  </si>
  <si>
    <t>DP Plafond</t>
  </si>
  <si>
    <t>DP Tambahan Allure</t>
  </si>
  <si>
    <t>dihitung USD</t>
  </si>
  <si>
    <t xml:space="preserve">Pelunasan Kabinet Master Bedroom </t>
  </si>
  <si>
    <t>Keramik Tambahan KM dan Library lt 3</t>
  </si>
  <si>
    <t>Kramik Mozaik Office</t>
  </si>
  <si>
    <t>DP Kohler Sanitary</t>
  </si>
  <si>
    <t>DP Pemasangan Marmer Isra</t>
  </si>
  <si>
    <t>Masuk 50.000 SGD</t>
  </si>
  <si>
    <t>Pelunasan Marmer Sentul</t>
  </si>
  <si>
    <t>Pelunasan Matrial AC tahap 1</t>
  </si>
  <si>
    <t>Pekerjaan Meja Marmer</t>
  </si>
  <si>
    <t>Special Lighting</t>
  </si>
  <si>
    <t>Meja Marmer lt 2</t>
  </si>
  <si>
    <t>ADP Marmer</t>
  </si>
  <si>
    <t>Pembelian Kabel Internet</t>
  </si>
  <si>
    <t>Pemeliharaan Kolam</t>
  </si>
  <si>
    <t>Tambahan Meja Marmer lt 2</t>
  </si>
  <si>
    <t>Pembayaran starlink 4 bulan</t>
  </si>
  <si>
    <t>Interior Produksi</t>
  </si>
  <si>
    <t>Pelunasan Fee Arsitek</t>
  </si>
  <si>
    <t>Ruang Tamu</t>
  </si>
  <si>
    <t>Build Dec Interior</t>
  </si>
  <si>
    <t>Gift</t>
  </si>
  <si>
    <t>Railing Tangga Melingkar</t>
  </si>
  <si>
    <t>Marmer Isra untuk teras dan powder</t>
  </si>
  <si>
    <t>Pelunasan Material AC Tahap 2</t>
  </si>
  <si>
    <t>Powder Room</t>
  </si>
  <si>
    <t>Pembelian Batu Andesit</t>
  </si>
  <si>
    <t>Ruang Lantai 3</t>
  </si>
  <si>
    <t>Cabinet Minister</t>
  </si>
  <si>
    <t>DP untuk Pagar</t>
  </si>
  <si>
    <t>Commitment Fee Buildec</t>
  </si>
  <si>
    <t>Function Room lt 1</t>
  </si>
  <si>
    <t>Marmer Isra untuk Function room</t>
  </si>
  <si>
    <t>Ruang TV Family Room lt 2</t>
  </si>
  <si>
    <t>Master Bedroom + Bathroom</t>
  </si>
  <si>
    <t>Ongkos Pasang Fuction</t>
  </si>
  <si>
    <t>Tahap 2 ongkos pasang marmer ruang tamu</t>
  </si>
  <si>
    <t>Pembayaran Icon plus internet</t>
  </si>
  <si>
    <t>Foyer Master Bedroom</t>
  </si>
  <si>
    <t>Rutin Kolam renang dan travo</t>
  </si>
  <si>
    <t>Gym Area</t>
  </si>
  <si>
    <t>Service AC</t>
  </si>
  <si>
    <t>Pembelian Aksesoris Interior</t>
  </si>
  <si>
    <t>Pembelian Router Wifi</t>
  </si>
  <si>
    <t>Sanitary</t>
  </si>
  <si>
    <t>Kohler</t>
  </si>
  <si>
    <t>Hamparan Stone</t>
  </si>
  <si>
    <t>Tambahan Lighting</t>
  </si>
  <si>
    <t>Sink</t>
  </si>
  <si>
    <t>Blanco</t>
  </si>
  <si>
    <t>DP Ongkos Pasang Infinity</t>
  </si>
  <si>
    <t>Dishwasher dan Kompor</t>
  </si>
  <si>
    <t>Bosch Magran</t>
  </si>
  <si>
    <t>DP Cabinet Minister Lt 3</t>
  </si>
  <si>
    <t>Electrical</t>
  </si>
  <si>
    <t>Schneider Stop Kontak</t>
  </si>
  <si>
    <t>DP Sound Bose</t>
  </si>
  <si>
    <t>Tambahan Infinity Material</t>
  </si>
  <si>
    <t>Sanitary KM Tamu</t>
  </si>
  <si>
    <t>Marmer Mozaik Fagetti</t>
  </si>
  <si>
    <t>Pasang Toilet Kohler</t>
  </si>
  <si>
    <t>Pembelian Contoh Floor Drain Lt 3</t>
  </si>
  <si>
    <t>Makan siang Tukang arahan Ibu</t>
  </si>
  <si>
    <t>Elektronik Pantry</t>
  </si>
  <si>
    <t>DP Ongkos Pasang Marmer Hamparan</t>
  </si>
  <si>
    <t>Sanitary Ruang Kerja</t>
  </si>
  <si>
    <t>Sanitary lt 4</t>
  </si>
  <si>
    <t>Sewa Jagrak Hamparan Marmer</t>
  </si>
  <si>
    <t>Pelunasan Kohler Master Bathroom</t>
  </si>
  <si>
    <t>Maintanance Pool Januari</t>
  </si>
  <si>
    <t>Pembelian Forme Furniture lt 3</t>
  </si>
  <si>
    <t>Forme</t>
  </si>
  <si>
    <t>DP Ongkos Pasang Teras &amp; Powder</t>
  </si>
  <si>
    <t>Viceli Furniture Lantai 3</t>
  </si>
  <si>
    <t>Viceli</t>
  </si>
  <si>
    <t>Sanitary Kamar Utama</t>
  </si>
  <si>
    <t>Tahap 2 pasang Infinity</t>
  </si>
  <si>
    <t>Sink Function Room</t>
  </si>
  <si>
    <t>tahap 3 pasang marmer ADP</t>
  </si>
  <si>
    <t>Tambahan Lampu Fira</t>
  </si>
  <si>
    <t>Laporan Baru</t>
  </si>
  <si>
    <t>Pembelian Sanitary Tambahan</t>
  </si>
  <si>
    <t>Pembelian Tambahan</t>
  </si>
  <si>
    <t xml:space="preserve">DP Interior Buildec </t>
  </si>
  <si>
    <t>Pembelian Cat</t>
  </si>
  <si>
    <t>Roda Selatan</t>
  </si>
  <si>
    <t>Lapisan Lantai</t>
  </si>
  <si>
    <t>Pembayaran starlink 2 bulan</t>
  </si>
  <si>
    <t>Pembelian Cat Tektur KM R Kerja</t>
  </si>
  <si>
    <t>Oprasional Proyek</t>
  </si>
  <si>
    <t>Pembelian Sink lt 2</t>
  </si>
  <si>
    <t>Sewa Jagrak</t>
  </si>
  <si>
    <t>Traktir Tukang</t>
  </si>
  <si>
    <t>Pembelian Dishwasher dan Kompor</t>
  </si>
  <si>
    <t>Meeting Yokocho dengan Buildec</t>
  </si>
  <si>
    <t>Meeting Kopitagram dengan Cabinet</t>
  </si>
  <si>
    <t>Ongkos Pasang Infinity tahap 3</t>
  </si>
  <si>
    <t>Listrik Bulan Juli</t>
  </si>
  <si>
    <t>Ongkos Pasang lt 1 FR dan GBR</t>
  </si>
  <si>
    <t>Listrik Bulan Agustus</t>
  </si>
  <si>
    <t>Ongkos Pasang lt 1 RK MBR</t>
  </si>
  <si>
    <t>Listrik Bulan September</t>
  </si>
  <si>
    <t>Pembayaran Maintanance Swimpool</t>
  </si>
  <si>
    <t>Listrik Bulan Oktober</t>
  </si>
  <si>
    <t>Listrik Bulan November</t>
  </si>
  <si>
    <t>Listrik Bulan Desember</t>
  </si>
  <si>
    <t>Pelunasan Infinity</t>
  </si>
  <si>
    <t>Listrik Bulan Januari</t>
  </si>
  <si>
    <t>Pelunasan Material Lift</t>
  </si>
  <si>
    <t>Listrik Bulan Februari</t>
  </si>
  <si>
    <t>29/042025</t>
  </si>
  <si>
    <t>Listrik Bulan Maret</t>
  </si>
  <si>
    <t>Stop Kontak Schneider</t>
  </si>
  <si>
    <t>Listrik Bulan April</t>
  </si>
  <si>
    <t>Pemasangan Marmer Hamparan</t>
  </si>
  <si>
    <t>Biaya pemasangan infinity</t>
  </si>
  <si>
    <t>Uang Masuk 190.000 SGD</t>
  </si>
  <si>
    <t>Pembayaran tahap 2 Buildec</t>
  </si>
  <si>
    <t>RailingTangga Utama</t>
  </si>
  <si>
    <t>Dapur Kotor</t>
  </si>
  <si>
    <t>Pemasangan Infinity</t>
  </si>
  <si>
    <t>Handle</t>
  </si>
  <si>
    <t>Marmer Pasang</t>
  </si>
  <si>
    <t>Pelunasan Marmer Ruang Keluarga</t>
  </si>
  <si>
    <t>Pelunasan Granit Tile Garasi Sehati</t>
  </si>
  <si>
    <t>Nama Ruangan</t>
  </si>
  <si>
    <t>Shower Kamar Mandi Tamu</t>
  </si>
  <si>
    <t>Lantai</t>
  </si>
  <si>
    <t>Progress</t>
  </si>
  <si>
    <t xml:space="preserve">Saklar dan stop kontak </t>
  </si>
  <si>
    <t>Pembayaran Plafond tahap 2</t>
  </si>
  <si>
    <t>Kekurangan</t>
  </si>
  <si>
    <t>Tipe Barang</t>
  </si>
  <si>
    <t>Maintenance Kolam Renang</t>
  </si>
  <si>
    <t>Powder Room Ruang Tamu</t>
  </si>
  <si>
    <t>Lantai 1</t>
  </si>
  <si>
    <t>Rupiah USD</t>
  </si>
  <si>
    <t>Westafle</t>
  </si>
  <si>
    <t>Keran Westafle</t>
  </si>
  <si>
    <t>Internet PLN</t>
  </si>
  <si>
    <t>Kabinet</t>
  </si>
  <si>
    <t>Airpurefire</t>
  </si>
  <si>
    <t>Kloset</t>
  </si>
  <si>
    <t>Kamar Mandi Tamu</t>
  </si>
  <si>
    <t>Pelunasan Marmer Lt 2</t>
  </si>
  <si>
    <t>Kaca Shower</t>
  </si>
  <si>
    <t>DP Pemasangan Marmer</t>
  </si>
  <si>
    <t>Shower</t>
  </si>
  <si>
    <t>Pemasangan marmer Hamparan</t>
  </si>
  <si>
    <t>Kamar Mandi Office</t>
  </si>
  <si>
    <t>Kamar Mandi Eyang</t>
  </si>
  <si>
    <t>Lantai 2</t>
  </si>
  <si>
    <t>Pembayaran Besi Railing</t>
  </si>
  <si>
    <t>Powder Room Ungu</t>
  </si>
  <si>
    <t>Kamar Mandi Fira</t>
  </si>
  <si>
    <t>Lantai 3</t>
  </si>
  <si>
    <t>Kamar Mandi Rara</t>
  </si>
  <si>
    <t>Pembelian floor drain</t>
  </si>
  <si>
    <t>Kamar Mandi Zahra</t>
  </si>
  <si>
    <t>Kamar Mandi Roof Top</t>
  </si>
  <si>
    <t>Lantai 4</t>
  </si>
  <si>
    <t>Pembayaran Buildec tahap 3</t>
  </si>
  <si>
    <t>Pembayaran Listrik K9</t>
  </si>
  <si>
    <t>Pembayaran Starlink 5 Bulan</t>
  </si>
  <si>
    <t>Kramik Sehati KM tamu lt 1 dan 2</t>
  </si>
  <si>
    <t>Tambah Bayar railing tangga</t>
  </si>
  <si>
    <t>Marmer ADP Ruang Keluarga lt 2</t>
  </si>
  <si>
    <t>Maintanance Kolam Renang</t>
  </si>
  <si>
    <t>Marmer ADP Koridor Maroko</t>
  </si>
  <si>
    <t>Pembayaran pasang infinity</t>
  </si>
  <si>
    <t>Meeting Konsumsi</t>
  </si>
  <si>
    <t>Pasang Kohler</t>
  </si>
  <si>
    <t xml:space="preserve">Pembayaran Tahap 2 Plafond </t>
  </si>
  <si>
    <t>Kramik Mozaik lt 3 KM</t>
  </si>
  <si>
    <t>Tile Sehati Lt 3</t>
  </si>
  <si>
    <t xml:space="preserve">Pembayaran buildec tahap 2 </t>
  </si>
  <si>
    <t>Heatpump 1000 liter</t>
  </si>
  <si>
    <t>Masuk Dana</t>
  </si>
  <si>
    <t>Tambahan DP Buildec Tahap 2</t>
  </si>
  <si>
    <t>Bayar Listrik K9</t>
  </si>
  <si>
    <t>Pembayaran pasang marmer hamparan</t>
  </si>
  <si>
    <t>Pembayaran DP Lighting</t>
  </si>
  <si>
    <t>Pembayaran pekerjaan tambahan kusen</t>
  </si>
  <si>
    <t>Pembayaran AC</t>
  </si>
  <si>
    <t>Elektronik City (Pantry lt 2)</t>
  </si>
  <si>
    <t>Pembayaran Internet 3 bulan</t>
  </si>
  <si>
    <t>Pemasangan Marmer ADP</t>
  </si>
  <si>
    <t>Pembayaran ke 4 tahap 1 buildec</t>
  </si>
  <si>
    <t xml:space="preserve">Pembayaran Listrik </t>
  </si>
  <si>
    <t>30/092025</t>
  </si>
  <si>
    <t>DP Disain Landscape All Home</t>
  </si>
  <si>
    <t>Sanitary Ruang Kerja K9</t>
  </si>
  <si>
    <t>DP Railing Tangga Belakang</t>
  </si>
  <si>
    <t>Pasang Hamparan Marmer</t>
  </si>
  <si>
    <t>Tambahan Lampu Galaxindo</t>
  </si>
  <si>
    <t>DP Kaca Skylight Atic Zahra</t>
  </si>
  <si>
    <t>Pelunasan Sarita</t>
  </si>
  <si>
    <t>Tambahan tanggal belakang</t>
  </si>
  <si>
    <t>Pembayaran Listrik</t>
  </si>
  <si>
    <t>Pasang Kramik Lt 3</t>
  </si>
  <si>
    <t>Tahap 2 Landscape</t>
  </si>
  <si>
    <t>Pembayaran DP Kusen Pintu</t>
  </si>
  <si>
    <t>Pembayaran Tahap 2 Lighting Fasad</t>
  </si>
  <si>
    <t>Pembayaran Plafond Attic</t>
  </si>
  <si>
    <t xml:space="preserve">DP sky Light Koridor </t>
  </si>
  <si>
    <t>Pemasangan Marmer</t>
  </si>
  <si>
    <t>Pasang Marmer</t>
  </si>
  <si>
    <t>Pelunasan Kohler</t>
  </si>
  <si>
    <t>Pasang Tangga</t>
  </si>
  <si>
    <t>Kramik Sehati</t>
  </si>
  <si>
    <t>Kolam Renang Perawatan</t>
  </si>
  <si>
    <t>Modal Tambahan</t>
  </si>
  <si>
    <t>Furniture Lantai 3</t>
  </si>
  <si>
    <t>DP Balkon koridor lt 2</t>
  </si>
  <si>
    <t>Pembayaran Interior Buildec ke 5</t>
  </si>
  <si>
    <t>Pembayaran PLN November</t>
  </si>
  <si>
    <t>Pembelian tambahan kramik lt 3</t>
  </si>
  <si>
    <t>Penambahan Railing Tangga</t>
  </si>
  <si>
    <t>DESEMBER</t>
  </si>
  <si>
    <t>Icon plus internet</t>
  </si>
  <si>
    <t>Pembayaran Astral</t>
  </si>
  <si>
    <t>Marmer Meja Lt 2</t>
  </si>
  <si>
    <t>Pelunasan Astral</t>
  </si>
  <si>
    <t>Pelunasan pasang Infinity</t>
  </si>
  <si>
    <t>Pelunasan Pasang Marmer Hamparan</t>
  </si>
  <si>
    <t>Belanja Bahan Tukang Kramik</t>
  </si>
  <si>
    <t>Tukang Kemang Kamar Mandi lt 3</t>
  </si>
  <si>
    <t>DP Viceli Furniture</t>
  </si>
  <si>
    <t>Pelunasan Kanopi lt 3</t>
  </si>
  <si>
    <t>Pembayaran PLN</t>
  </si>
  <si>
    <t>DP AC Kemang K8</t>
  </si>
  <si>
    <t>K8</t>
  </si>
  <si>
    <t>DP Engsel dan Door Closer</t>
  </si>
  <si>
    <t>Pembayaran tahap 2 AC</t>
  </si>
  <si>
    <t>DP Dinding tambahan Attic Lantai 3</t>
  </si>
  <si>
    <t>Lampu</t>
  </si>
  <si>
    <t>JANUARI 2026</t>
  </si>
  <si>
    <t>01/26</t>
  </si>
  <si>
    <t>Shopee Lampu Kemang</t>
  </si>
  <si>
    <t>Bahan Kramik K9</t>
  </si>
  <si>
    <t>Bayar Railing tangga Belakang</t>
  </si>
  <si>
    <t>Bahan Interior Perbaikan Kemang</t>
  </si>
  <si>
    <t>Plafond Mandala K8</t>
  </si>
  <si>
    <t>Belanja Besi Pager Kemang</t>
  </si>
  <si>
    <t>DP Pembuatan Tampilan Cafe Lt 2</t>
  </si>
  <si>
    <t>Keramik Library lt 3</t>
  </si>
  <si>
    <t>Keramik Tambahan lt 3</t>
  </si>
  <si>
    <t>Gajian Tukang Kemang</t>
  </si>
  <si>
    <t>Gajian Tukang Kayu</t>
  </si>
  <si>
    <t>Belanja Pohon lohansung</t>
  </si>
  <si>
    <t>Pelunasan engsel dan Doorcloser</t>
  </si>
  <si>
    <t>Besi Pagar Taman</t>
  </si>
  <si>
    <t>Pembelian contoh cat</t>
  </si>
  <si>
    <t>Pembelian WPC untuk pagar</t>
  </si>
  <si>
    <t>Pembayaran Tahap 1 AC Split</t>
  </si>
  <si>
    <t>Pembelian WC untuk Kamar Utama</t>
  </si>
  <si>
    <t>Tambahan pintu area lantai 1</t>
  </si>
  <si>
    <t xml:space="preserve">Pembelian bahan untuk kramik </t>
  </si>
  <si>
    <t xml:space="preserve">Pembelian Tanaman </t>
  </si>
  <si>
    <t>Pembayaran ke 3 Tahap 2 Buildec</t>
  </si>
  <si>
    <t>Pembayaran Ke 2 Kusen Pintu</t>
  </si>
  <si>
    <t>Bahan Pager Kemang</t>
  </si>
  <si>
    <t>Pembayaran termin 2 lantai 3</t>
  </si>
  <si>
    <t>Pembelian contoh batu</t>
  </si>
  <si>
    <t>Gajian Tukang Furniture</t>
  </si>
  <si>
    <t>Pembelian Sanitary Sink Dapur</t>
  </si>
  <si>
    <t>Pembelian Sanitary Cookerhood</t>
  </si>
  <si>
    <t>Pembelian Lampu</t>
  </si>
  <si>
    <t>Pembelian Keran Westafle Kamar</t>
  </si>
  <si>
    <t>Pembelian Cat dasar pager</t>
  </si>
  <si>
    <t>Pemabayaran Listrik Januari</t>
  </si>
  <si>
    <t>Pembelian tambahan marmer meja</t>
  </si>
  <si>
    <t>Kurang bayar marmer meja tahap 1</t>
  </si>
  <si>
    <t>Pembelian alat dapur</t>
  </si>
  <si>
    <t>Rumah makan abah sentul</t>
  </si>
  <si>
    <t>Sanitary Toilet</t>
  </si>
  <si>
    <t>Tukang Kemang</t>
  </si>
  <si>
    <t>Shopee untuk keran Wudhu</t>
  </si>
  <si>
    <t>Pagi Sore Jeruk Purut</t>
  </si>
  <si>
    <t>Pembelian Tangga Kolam Renang</t>
  </si>
  <si>
    <t>Shopee Tangga Tukang Kebun</t>
  </si>
  <si>
    <t>Pembelian Marmer Kamar Mandi</t>
  </si>
  <si>
    <t>DP Batu Alam untuk Tempat Wudhu</t>
  </si>
  <si>
    <t>Shopee Lampu Pendopo</t>
  </si>
  <si>
    <t>Pembayaran Buildec Tahap 4</t>
  </si>
  <si>
    <t xml:space="preserve">Pembelian Paving </t>
  </si>
  <si>
    <t>Pemberian Tukang taman</t>
  </si>
  <si>
    <t>Pembelian Kramik Kamar Mandi</t>
  </si>
  <si>
    <t>Pemberian Tukang Pohon</t>
  </si>
  <si>
    <t>Bahan tukang kemang</t>
  </si>
  <si>
    <t xml:space="preserve">Beli Pipa Paving </t>
  </si>
  <si>
    <t>Pelunasan AC Gree</t>
  </si>
  <si>
    <t>Gajian Furniture Kemang</t>
  </si>
  <si>
    <t>Pasir Paving</t>
  </si>
  <si>
    <t>Tambahan Buildec tahap 4</t>
  </si>
  <si>
    <t xml:space="preserve">DP Pager Balkon Lt 3 </t>
  </si>
  <si>
    <t>Bahan penutup pager dan Alderon</t>
  </si>
  <si>
    <t>Bahan Paving</t>
  </si>
  <si>
    <t>DP Ongkos Pasang Paving</t>
  </si>
  <si>
    <t>Pembelian Kramik Mozaik KM Office</t>
  </si>
  <si>
    <t>Alat Pasang Kramik</t>
  </si>
  <si>
    <t>Beli Tutup Baut Shopee</t>
  </si>
  <si>
    <t>DP Kaca Kanopi Lt 3</t>
  </si>
  <si>
    <t>Pembayaran pasang paving tahap 2</t>
  </si>
  <si>
    <t xml:space="preserve">Alat Kemang </t>
  </si>
  <si>
    <t>Bahan paving</t>
  </si>
  <si>
    <t>DP pasang marmer baru</t>
  </si>
  <si>
    <t>Batu Tempat Wudhu</t>
  </si>
  <si>
    <t>Pembilian Sample Nat</t>
  </si>
  <si>
    <t>Tambahan Kramik Roman</t>
  </si>
  <si>
    <t>Pembilan Nat Kramik</t>
  </si>
  <si>
    <t>Pasang Paving</t>
  </si>
  <si>
    <t>Keran Wudhu</t>
  </si>
  <si>
    <t>Pembayaran Tahap 2 WH WIka</t>
  </si>
  <si>
    <t>DP pembangunan Jembatan</t>
  </si>
  <si>
    <t>Gaji Tukang Kemang</t>
  </si>
  <si>
    <t>Pembayaran tahap 1 untuk Fasad</t>
  </si>
  <si>
    <t>Pelunasan Paving</t>
  </si>
  <si>
    <t>Pembayaran Internet</t>
  </si>
  <si>
    <t>Pembayaran Tahap 2 untuk Fasad</t>
  </si>
  <si>
    <t>Pembelian TV di Hartono Mall</t>
  </si>
  <si>
    <t>Pelunasan Batu Alam</t>
  </si>
  <si>
    <t>Pembelian Batu Lima Stone</t>
  </si>
  <si>
    <t>Tambahan Batu Fasad</t>
  </si>
  <si>
    <t>Tahap 2 Jembatan</t>
  </si>
  <si>
    <t>Granit Perpustakaan</t>
  </si>
  <si>
    <t>Batu andesit</t>
  </si>
  <si>
    <t>Bahan Pasang Batu</t>
  </si>
  <si>
    <t>Pembayaran Tahap 2 Kusen Lt 1-2</t>
  </si>
  <si>
    <t>Pembayaran Tahap 1 Kusen Lt 3</t>
  </si>
  <si>
    <t>Pembayaran ke IV tahao 2 Buildec</t>
  </si>
  <si>
    <t>Penambahan Batu Pacitoroso</t>
  </si>
  <si>
    <t>Pembayaran Tahap 2 Cabinet</t>
  </si>
  <si>
    <t>Belaja Bahan Kayu</t>
  </si>
  <si>
    <t>Belanja Bahan Kayu dan Batu</t>
  </si>
  <si>
    <t>Belanja Batu</t>
  </si>
  <si>
    <t>Pemasangan Bangku Jembatan</t>
  </si>
  <si>
    <t>Belanja Bahan Kemang</t>
  </si>
  <si>
    <t>Pasang Batu Tabur Pendopo</t>
  </si>
  <si>
    <t xml:space="preserve">Bahan Pemasangan Listrik </t>
  </si>
  <si>
    <t>Pembelian Sink Function Room</t>
  </si>
  <si>
    <t>DP Pembuatan Taman Lantai 2</t>
  </si>
  <si>
    <t>Pelunasan Skylight Attic Lt 3</t>
  </si>
  <si>
    <t>Pembayaran tahap 2 pemasangan marmer</t>
  </si>
  <si>
    <t>Penambahan Lampu</t>
  </si>
  <si>
    <t xml:space="preserve">Pembayaran Tukang Listrik </t>
  </si>
  <si>
    <t>Bahan untuk Pasang Kayu</t>
  </si>
  <si>
    <t>Pelunasan Jembatan</t>
  </si>
  <si>
    <t>Pekerjaan Cat Fasad</t>
  </si>
  <si>
    <t>Bahan Kemang</t>
  </si>
  <si>
    <t>Engsel Hidrolic lat 2 dan 3</t>
  </si>
  <si>
    <t>Perapihan Bagunan warung</t>
  </si>
  <si>
    <t>Smart Lock</t>
  </si>
  <si>
    <t>Kunci Pintu Depan</t>
  </si>
  <si>
    <t>Bahan Listrik</t>
  </si>
  <si>
    <t>Tambahan Lampu Kamar Fira</t>
  </si>
  <si>
    <t>Bahan listrik</t>
  </si>
  <si>
    <t>Beli Pohon Anggur</t>
  </si>
  <si>
    <t>Kanopi Ruang Utility</t>
  </si>
  <si>
    <t>Pager waremesh Parkir</t>
  </si>
  <si>
    <t>Kunci Pager pembatas</t>
  </si>
  <si>
    <t>Tiang Lampu JPU</t>
  </si>
  <si>
    <t>Bayar tahap 2 balkon Kolam Renang</t>
  </si>
  <si>
    <t>Pelunasan Water Heater</t>
  </si>
  <si>
    <t>Pengantian Kunci utama</t>
  </si>
  <si>
    <t>Pasang Handle Pintu Bardi</t>
  </si>
  <si>
    <t>Pelunasan Fasad K8</t>
  </si>
  <si>
    <t>Pemasangan Lampu lt 1dan 2</t>
  </si>
  <si>
    <t>Tambah Pasang lampu taman</t>
  </si>
  <si>
    <t>Bahan Cat untuk interior</t>
  </si>
  <si>
    <t>Pelunasan Kaca Balkon Lt 3</t>
  </si>
  <si>
    <t>Service AC rumah</t>
  </si>
  <si>
    <t>Penambahan Pintu Utama</t>
  </si>
  <si>
    <t xml:space="preserve">Pemasangan Keran </t>
  </si>
  <si>
    <t>Pembayaran Listrik Maret</t>
  </si>
  <si>
    <t>Cat Tekstur Kamar Mandi Office</t>
  </si>
  <si>
    <t>Pembelian HT</t>
  </si>
  <si>
    <t>Tambahan Cat ruang tamu</t>
  </si>
  <si>
    <t>Bayar Tahap 2 Sound Ciling</t>
  </si>
  <si>
    <t xml:space="preserve">Pembelian AC Portable </t>
  </si>
  <si>
    <t>Beli Batu Sikat</t>
  </si>
  <si>
    <t>Beli Batu tambahan</t>
  </si>
  <si>
    <t>Beli Batu Garasi</t>
  </si>
  <si>
    <t>Ongkos Batu</t>
  </si>
  <si>
    <t>Batu Tambahan</t>
  </si>
  <si>
    <t>Pembayaran Kayu Leles</t>
  </si>
  <si>
    <t>Pembelian Kramik Teras Dapur</t>
  </si>
  <si>
    <t>Bayar Pemasangan Marmer</t>
  </si>
  <si>
    <t>Pembelian Lampu Sendok</t>
  </si>
  <si>
    <t>Pembelian Floor Drain Shopee</t>
  </si>
  <si>
    <t>Pembayaran Listrik April</t>
  </si>
  <si>
    <t>Pasang Marmer Non ADP</t>
  </si>
  <si>
    <t>Westafle Kamar Mandi Ungu</t>
  </si>
  <si>
    <t>Saklar dan Stop Kontak</t>
  </si>
  <si>
    <t>Modal Masuk</t>
  </si>
  <si>
    <t>Handle Pintu</t>
  </si>
  <si>
    <t>Pembayaran Plafond</t>
  </si>
  <si>
    <t>Pembuatan Gorden lt 3</t>
  </si>
  <si>
    <t>Handle Pintu Lt 3</t>
  </si>
  <si>
    <t>Pembayaran IV Buildec Tahap 3</t>
  </si>
  <si>
    <t>Kaca lantai 3</t>
  </si>
  <si>
    <t>Pelunasan Kanopi Lt 2</t>
  </si>
  <si>
    <t>DP Untuk Railing Tambahan Lt 3</t>
  </si>
  <si>
    <t>Pemasangan Marmer Non ADP</t>
  </si>
  <si>
    <t xml:space="preserve">Pemasangan Taman Depan </t>
  </si>
  <si>
    <t xml:space="preserve">Pembayaran Listrik Mei </t>
  </si>
  <si>
    <t>Pelunasan Furniture Viceli</t>
  </si>
  <si>
    <t>Pemasangan Pohon</t>
  </si>
  <si>
    <t>Tambahan Landscape</t>
  </si>
  <si>
    <t>Triplek Pembatas Jendela Atas</t>
  </si>
  <si>
    <t>Tambah saklar dan colokan</t>
  </si>
  <si>
    <t>Kabel Listrik</t>
  </si>
  <si>
    <t>Pembelian Modena Kompor</t>
  </si>
  <si>
    <t>Pembelian Westafle Office</t>
  </si>
  <si>
    <t>Pelunasan Railing Balkon</t>
  </si>
  <si>
    <t>Tambahan Kramik</t>
  </si>
  <si>
    <t>Tahap 2 Pembuatan Besi Ruang Gym</t>
  </si>
  <si>
    <t>Beli Handle Rafes Lantai 2</t>
  </si>
  <si>
    <t>Pembelian Paloma Keran Powder Room</t>
  </si>
  <si>
    <t>DP AC Tambahan K9</t>
  </si>
  <si>
    <t>Pembayaran Tahap 2 Kusen Pintu Lt 3</t>
  </si>
  <si>
    <t>Bayar ke IV tahap 2 Buildec</t>
  </si>
  <si>
    <t>Pembayaran Pasangan Marmer</t>
  </si>
  <si>
    <t>Pembayaran Internet Kemang</t>
  </si>
  <si>
    <t>Pembayaran PLN Juni</t>
  </si>
  <si>
    <t>Pelunasan AC Tambahan</t>
  </si>
  <si>
    <t xml:space="preserve">Tambahan AC Musolah </t>
  </si>
  <si>
    <t>Pembelian Kabel Listrik dan Stop Kontak</t>
  </si>
  <si>
    <t>Pembelian Sanitary Ruang Service</t>
  </si>
  <si>
    <t>Pembelian Ruter</t>
  </si>
  <si>
    <t>Pembayaran Landscape L2 K9</t>
  </si>
  <si>
    <t>DP Pembuatan Pagar</t>
  </si>
  <si>
    <t>DP Tambahan Partisi Mandala</t>
  </si>
  <si>
    <t>Pelunasan Curtain Lt 3</t>
  </si>
  <si>
    <t>Pemasangan Listrik Lt 3</t>
  </si>
  <si>
    <t>DP Pembuatan Dpaur Kotor</t>
  </si>
  <si>
    <t>Pembelian Sink Lantai 4</t>
  </si>
  <si>
    <t>Tambahan listrik Lt 3</t>
  </si>
  <si>
    <t>Tambahan DP Dapur Kotor</t>
  </si>
  <si>
    <t>Pelunasan Pager Lt 3</t>
  </si>
  <si>
    <t>DP French Balcony</t>
  </si>
  <si>
    <t>Pembelian Roster Kolam Renang</t>
  </si>
  <si>
    <t>Tambahan Komponen</t>
  </si>
  <si>
    <t>Pelunasan Galaxindo Fasade dan Ruang Tamu</t>
  </si>
  <si>
    <t>DP Pembuatan WIC Lt 3</t>
  </si>
  <si>
    <t xml:space="preserve">Pembelian Floor Drain </t>
  </si>
  <si>
    <t>Perlengkapan Interior</t>
  </si>
  <si>
    <t>Penambahan Pohon Kamboja</t>
  </si>
  <si>
    <t>Pembayaran Listrik Bulan Juli</t>
  </si>
  <si>
    <t>Pembayaran Tahap V Buildec</t>
  </si>
  <si>
    <t xml:space="preserve">Pembelian Lampu Aksesoris </t>
  </si>
  <si>
    <t>Pembelian Kulkas Pantry Lt 2</t>
  </si>
  <si>
    <t>Pembayaran mandala plafond</t>
  </si>
  <si>
    <t>Pemasangan marmer</t>
  </si>
  <si>
    <t>DP Pembuatan ke V Buildec</t>
  </si>
  <si>
    <t>Pembelian Aksesoris Sanitary</t>
  </si>
  <si>
    <t>DP Lampu Untuk Ruang Tamu</t>
  </si>
  <si>
    <t>SUMMARY</t>
  </si>
  <si>
    <t>Sisa uang</t>
  </si>
  <si>
    <t>BCA</t>
  </si>
  <si>
    <t>Buat Cafe Vokasi</t>
  </si>
  <si>
    <t>Buat pribadi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</si>
</sst>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&quot;-&quot;_);_(@_)"/>
    <numFmt numFmtId="165" formatCode="dd/MM/yyyy"/>
    <numFmt numFmtId="166" formatCode="[$$-409]#,##0_);\([$$-409]#,##0\)"/>
    <numFmt numFmtId="167" formatCode="_([$$-409]* #,##0_);_([$$-409]* \(#,##0\);_([$$-409]* &quot;-&quot;??_);_(@_)"/>
    <numFmt numFmtId="168" formatCode="_([$$-409]* #,##0.00_);_([$$-409]* \(#,##0.00\);_([$$-409]* &quot;-&quot;??_);_(@_)"/>
    <numFmt numFmtId="169" formatCode="dd/mm"/>
    <numFmt numFmtId="170" formatCode="d/m/yyyy"/>
    <numFmt numFmtId="171" formatCode="dd/mm/yyyy"/>
  </numFmts>
  <fonts count="21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b/>
      <sz val="12.0"/>
      <color theme="1"/>
      <name val="Aptos Narrow"/>
    </font>
    <font/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4.0"/>
      <color theme="1"/>
      <name val="Aptos Narrow"/>
    </font>
    <font>
      <sz val="12.0"/>
      <color theme="1"/>
      <name val="Arial"/>
    </font>
    <font>
      <b/>
      <sz val="12.0"/>
      <color rgb="FFFF0000"/>
      <name val="Arial"/>
    </font>
    <font>
      <b/>
      <sz val="12.0"/>
      <color rgb="FFFF0000"/>
      <name val="Aptos Narrow"/>
    </font>
    <font>
      <u/>
      <sz val="12.0"/>
      <color rgb="FF0000FF"/>
      <name val="Arial"/>
    </font>
    <font>
      <i/>
      <sz val="12.0"/>
      <color theme="1"/>
      <name val="Aptos Narrow"/>
    </font>
    <font>
      <i/>
      <sz val="12.0"/>
      <color theme="1"/>
      <name val="Arial"/>
    </font>
    <font>
      <sz val="12.0"/>
      <color theme="0"/>
      <name val="Aptos Narrow"/>
    </font>
    <font>
      <sz val="12.0"/>
      <color rgb="FFFFFFFF"/>
      <name val="Aptos Narrow"/>
    </font>
    <font>
      <b/>
      <sz val="12.0"/>
      <color rgb="FF000000"/>
      <name val="Aptos Narrow"/>
    </font>
    <font>
      <b/>
      <color theme="1"/>
      <name val="Arial"/>
    </font>
    <font>
      <sz val="12.0"/>
      <color rgb="FFFFFFFF"/>
      <name val="Arial"/>
    </font>
    <font>
      <sz val="12.0"/>
      <color theme="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83CAEB"/>
        <bgColor rgb="FF83CAEB"/>
      </patternFill>
    </fill>
    <fill>
      <patternFill patternType="solid">
        <fgColor rgb="FFE49EDD"/>
        <bgColor rgb="FFE49EDD"/>
      </patternFill>
    </fill>
    <fill>
      <patternFill patternType="solid">
        <fgColor rgb="FFCCCCCC"/>
        <bgColor rgb="FFCCCCCC"/>
      </patternFill>
    </fill>
    <fill>
      <patternFill patternType="solid">
        <fgColor rgb="FF8ED873"/>
        <bgColor rgb="FF8ED873"/>
      </patternFill>
    </fill>
    <fill>
      <patternFill patternType="solid">
        <fgColor theme="0"/>
        <bgColor theme="0"/>
      </patternFill>
    </fill>
    <fill>
      <patternFill patternType="solid">
        <fgColor rgb="FFF6C6AC"/>
        <bgColor rgb="FFF6C6AC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</fills>
  <borders count="33">
    <border/>
    <border>
      <left style="thin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top style="thin">
        <color rgb="FF505050"/>
      </top>
      <bottom style="thin">
        <color rgb="FF505050"/>
      </bottom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505050"/>
      </left>
      <top style="thin">
        <color rgb="FF50505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double">
        <color rgb="FF50505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505050"/>
      </left>
      <right style="thin">
        <color rgb="FF505050"/>
      </right>
      <top/>
      <bottom style="double">
        <color rgb="FF505050"/>
      </bottom>
    </border>
    <border>
      <left style="thin">
        <color rgb="FF000000"/>
      </left>
      <top style="thin">
        <color rgb="FF000000"/>
      </top>
    </border>
    <border>
      <left style="thin">
        <color rgb="FF505050"/>
      </left>
      <right style="thin">
        <color rgb="FF505050"/>
      </right>
      <top style="thin">
        <color rgb="FF505050"/>
      </top>
      <bottom/>
    </border>
    <border>
      <right style="thin">
        <color rgb="FF000000"/>
      </right>
      <top style="thin">
        <color rgb="FF000000"/>
      </top>
    </border>
    <border>
      <right/>
      <top/>
      <bottom/>
    </border>
    <border>
      <top style="thin">
        <color rgb="FF505050"/>
      </top>
    </border>
    <border>
      <right style="thin">
        <color rgb="FF505050"/>
      </right>
      <top style="thin">
        <color rgb="FF505050"/>
      </top>
      <bottom/>
    </border>
    <border>
      <left style="thin">
        <color rgb="FF505050"/>
      </left>
      <right/>
      <top style="thin">
        <color rgb="FF505050"/>
      </top>
      <bottom/>
    </border>
    <border>
      <left style="thin">
        <color rgb="FF505050"/>
      </left>
      <right/>
      <top style="thin">
        <color rgb="FF505050"/>
      </top>
      <bottom style="thin">
        <color rgb="FF505050"/>
      </bottom>
    </border>
    <border>
      <right style="thin">
        <color rgb="FF505050"/>
      </right>
      <top style="thin">
        <color rgb="FF505050"/>
      </top>
    </border>
    <border>
      <left style="thin">
        <color rgb="FF505050"/>
      </left>
      <right/>
      <top style="thin">
        <color rgb="FF50505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2" fontId="3" numFmtId="164" xfId="0" applyAlignment="1" applyBorder="1" applyFont="1" applyNumberFormat="1">
      <alignment horizontal="center" vertical="center"/>
    </xf>
    <xf borderId="3" fillId="0" fontId="4" numFmtId="0" xfId="0" applyBorder="1" applyFont="1"/>
    <xf borderId="0" fillId="0" fontId="2" numFmtId="164" xfId="0" applyFont="1" applyNumberFormat="1"/>
    <xf borderId="1" fillId="2" fontId="3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4" fillId="2" fontId="3" numFmtId="164" xfId="0" applyAlignment="1" applyBorder="1" applyFont="1" applyNumberFormat="1">
      <alignment horizontal="center" vertical="center"/>
    </xf>
    <xf borderId="1" fillId="2" fontId="6" numFmtId="164" xfId="0" applyAlignment="1" applyBorder="1" applyFont="1" applyNumberFormat="1">
      <alignment horizontal="center" readingOrder="0" vertical="center"/>
    </xf>
    <xf borderId="0" fillId="0" fontId="1" numFmtId="0" xfId="0" applyFont="1"/>
    <xf borderId="1" fillId="2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7" numFmtId="0" xfId="0" applyAlignment="1" applyBorder="1" applyFont="1">
      <alignment horizontal="center" readingOrder="0" shrinkToFit="0" vertical="center" wrapText="1"/>
    </xf>
    <xf borderId="1" fillId="3" fontId="2" numFmtId="164" xfId="0" applyAlignment="1" applyBorder="1" applyFill="1" applyFont="1" applyNumberFormat="1">
      <alignment horizontal="center" vertical="center"/>
    </xf>
    <xf borderId="6" fillId="0" fontId="8" numFmtId="0" xfId="0" applyAlignment="1" applyBorder="1" applyFont="1">
      <alignment horizontal="center"/>
    </xf>
    <xf borderId="7" fillId="2" fontId="3" numFmtId="164" xfId="0" applyAlignment="1" applyBorder="1" applyFont="1" applyNumberFormat="1">
      <alignment horizontal="center" vertical="center"/>
    </xf>
    <xf borderId="8" fillId="2" fontId="3" numFmtId="164" xfId="0" applyAlignment="1" applyBorder="1" applyFont="1" applyNumberFormat="1">
      <alignment horizontal="center" vertical="center"/>
    </xf>
    <xf borderId="6" fillId="0" fontId="8" numFmtId="164" xfId="0" applyAlignment="1" applyBorder="1" applyFont="1" applyNumberFormat="1">
      <alignment horizontal="center"/>
    </xf>
    <xf borderId="8" fillId="4" fontId="9" numFmtId="0" xfId="0" applyAlignment="1" applyBorder="1" applyFill="1" applyFont="1">
      <alignment horizontal="left" readingOrder="0" vertical="center"/>
    </xf>
    <xf borderId="0" fillId="2" fontId="3" numFmtId="0" xfId="0" applyAlignment="1" applyFont="1">
      <alignment horizontal="center" vertical="center"/>
    </xf>
    <xf borderId="0" fillId="5" fontId="2" numFmtId="165" xfId="0" applyAlignment="1" applyFill="1" applyFont="1" applyNumberFormat="1">
      <alignment horizontal="center" shrinkToFit="0" vertical="center" wrapText="1"/>
    </xf>
    <xf borderId="8" fillId="4" fontId="2" numFmtId="0" xfId="0" applyAlignment="1" applyBorder="1" applyFont="1">
      <alignment horizontal="left" vertical="center"/>
    </xf>
    <xf borderId="8" fillId="0" fontId="9" numFmtId="0" xfId="0" applyAlignment="1" applyBorder="1" applyFont="1">
      <alignment horizontal="left" readingOrder="0" vertical="center"/>
    </xf>
    <xf borderId="9" fillId="5" fontId="2" numFmtId="0" xfId="0" applyBorder="1" applyFont="1"/>
    <xf borderId="8" fillId="4" fontId="2" numFmtId="166" xfId="0" applyAlignment="1" applyBorder="1" applyFont="1" applyNumberFormat="1">
      <alignment horizontal="center"/>
    </xf>
    <xf borderId="8" fillId="0" fontId="2" numFmtId="166" xfId="0" applyAlignment="1" applyBorder="1" applyFont="1" applyNumberFormat="1">
      <alignment horizontal="center"/>
    </xf>
    <xf borderId="9" fillId="5" fontId="9" numFmtId="0" xfId="0" applyAlignment="1" applyBorder="1" applyFont="1">
      <alignment horizontal="center" readingOrder="0"/>
    </xf>
    <xf borderId="8" fillId="4" fontId="2" numFmtId="166" xfId="0" applyAlignment="1" applyBorder="1" applyFont="1" applyNumberFormat="1">
      <alignment horizontal="center" vertical="center"/>
    </xf>
    <xf borderId="8" fillId="0" fontId="9" numFmtId="164" xfId="0" applyAlignment="1" applyBorder="1" applyFont="1" applyNumberFormat="1">
      <alignment readingOrder="0"/>
    </xf>
    <xf borderId="9" fillId="5" fontId="2" numFmtId="164" xfId="0" applyBorder="1" applyFont="1" applyNumberFormat="1"/>
    <xf borderId="8" fillId="0" fontId="2" numFmtId="164" xfId="0" applyBorder="1" applyFont="1" applyNumberFormat="1"/>
    <xf borderId="3" fillId="0" fontId="2" numFmtId="164" xfId="0" applyAlignment="1" applyBorder="1" applyFont="1" applyNumberFormat="1">
      <alignment horizontal="center" vertical="center"/>
    </xf>
    <xf borderId="9" fillId="5" fontId="2" numFmtId="0" xfId="0" applyAlignment="1" applyBorder="1" applyFont="1">
      <alignment horizontal="center"/>
    </xf>
    <xf borderId="8" fillId="6" fontId="10" numFmtId="0" xfId="0" applyAlignment="1" applyBorder="1" applyFill="1" applyFont="1">
      <alignment horizontal="left" readingOrder="0" vertical="center"/>
    </xf>
    <xf borderId="9" fillId="5" fontId="2" numFmtId="167" xfId="0" applyBorder="1" applyFont="1" applyNumberFormat="1"/>
    <xf borderId="8" fillId="0" fontId="2" numFmtId="164" xfId="0" applyAlignment="1" applyBorder="1" applyFont="1" applyNumberFormat="1">
      <alignment horizontal="center" vertical="center"/>
    </xf>
    <xf borderId="8" fillId="6" fontId="2" numFmtId="0" xfId="0" applyAlignment="1" applyBorder="1" applyFont="1">
      <alignment horizontal="left" vertical="center"/>
    </xf>
    <xf borderId="8" fillId="7" fontId="9" numFmtId="165" xfId="0" applyAlignment="1" applyBorder="1" applyFill="1" applyFont="1" applyNumberFormat="1">
      <alignment horizontal="center" readingOrder="0" shrinkToFit="0" vertical="center" wrapText="1"/>
    </xf>
    <xf borderId="8" fillId="6" fontId="2" numFmtId="166" xfId="0" applyAlignment="1" applyBorder="1" applyFont="1" applyNumberFormat="1">
      <alignment horizontal="center"/>
    </xf>
    <xf borderId="8" fillId="7" fontId="2" numFmtId="0" xfId="0" applyBorder="1" applyFont="1"/>
    <xf borderId="8" fillId="6" fontId="2" numFmtId="164" xfId="0" applyBorder="1" applyFont="1" applyNumberFormat="1"/>
    <xf borderId="8" fillId="7" fontId="2" numFmtId="0" xfId="0" applyAlignment="1" applyBorder="1" applyFont="1">
      <alignment horizontal="center"/>
    </xf>
    <xf borderId="8" fillId="7" fontId="2" numFmtId="164" xfId="0" applyBorder="1" applyFont="1" applyNumberFormat="1"/>
    <xf borderId="8" fillId="6" fontId="2" numFmtId="164" xfId="0" applyAlignment="1" applyBorder="1" applyFont="1" applyNumberFormat="1">
      <alignment horizontal="center" vertical="center"/>
    </xf>
    <xf borderId="8" fillId="6" fontId="11" numFmtId="0" xfId="0" applyAlignment="1" applyBorder="1" applyFont="1">
      <alignment horizontal="left" vertical="center"/>
    </xf>
    <xf borderId="8" fillId="7" fontId="2" numFmtId="167" xfId="0" applyBorder="1" applyFont="1" applyNumberFormat="1"/>
    <xf borderId="8" fillId="0" fontId="2" numFmtId="164" xfId="0" applyAlignment="1" applyBorder="1" applyFont="1" applyNumberFormat="1">
      <alignment horizontal="center"/>
    </xf>
    <xf borderId="8" fillId="5" fontId="2" numFmtId="165" xfId="0" applyAlignment="1" applyBorder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left" vertical="center"/>
    </xf>
    <xf borderId="8" fillId="0" fontId="9" numFmtId="164" xfId="0" applyAlignment="1" applyBorder="1" applyFont="1" applyNumberFormat="1">
      <alignment horizontal="center" readingOrder="0" vertical="center"/>
    </xf>
    <xf borderId="8" fillId="5" fontId="2" numFmtId="0" xfId="0" applyBorder="1" applyFont="1"/>
    <xf borderId="8" fillId="0" fontId="2" numFmtId="0" xfId="0" applyAlignment="1" applyBorder="1" applyFont="1">
      <alignment horizontal="left" readingOrder="0" vertical="center"/>
    </xf>
    <xf borderId="8" fillId="5" fontId="9" numFmtId="0" xfId="0" applyAlignment="1" applyBorder="1" applyFont="1">
      <alignment horizontal="center" readingOrder="0"/>
    </xf>
    <xf borderId="8" fillId="0" fontId="2" numFmtId="164" xfId="0" applyAlignment="1" applyBorder="1" applyFont="1" applyNumberFormat="1">
      <alignment horizontal="center" readingOrder="0" vertical="center"/>
    </xf>
    <xf borderId="8" fillId="5" fontId="2" numFmtId="164" xfId="0" applyBorder="1" applyFont="1" applyNumberFormat="1"/>
    <xf borderId="8" fillId="0" fontId="12" numFmtId="0" xfId="0" applyAlignment="1" applyBorder="1" applyFont="1">
      <alignment horizontal="left" readingOrder="0" vertical="center"/>
    </xf>
    <xf borderId="8" fillId="0" fontId="2" numFmtId="0" xfId="0" applyBorder="1" applyFont="1"/>
    <xf borderId="0" fillId="0" fontId="1" numFmtId="164" xfId="0" applyFont="1" applyNumberFormat="1"/>
    <xf borderId="8" fillId="0" fontId="2" numFmtId="0" xfId="0" applyAlignment="1" applyBorder="1" applyFont="1">
      <alignment horizontal="center"/>
    </xf>
    <xf borderId="8" fillId="0" fontId="2" numFmtId="167" xfId="0" applyBorder="1" applyFont="1" applyNumberFormat="1"/>
    <xf borderId="8" fillId="0" fontId="2" numFmtId="165" xfId="0" applyAlignment="1" applyBorder="1" applyFont="1" applyNumberFormat="1">
      <alignment horizontal="center" shrinkToFit="0" vertical="center" wrapText="1"/>
    </xf>
    <xf borderId="8" fillId="6" fontId="9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readingOrder="0"/>
    </xf>
    <xf borderId="8" fillId="6" fontId="2" numFmtId="164" xfId="0" applyAlignment="1" applyBorder="1" applyFont="1" applyNumberFormat="1">
      <alignment horizontal="center"/>
    </xf>
    <xf borderId="8" fillId="0" fontId="2" numFmtId="167" xfId="0" applyAlignment="1" applyBorder="1" applyFont="1" applyNumberFormat="1">
      <alignment readingOrder="0"/>
    </xf>
    <xf borderId="8" fillId="6" fontId="9" numFmtId="164" xfId="0" applyAlignment="1" applyBorder="1" applyFont="1" applyNumberFormat="1">
      <alignment horizontal="center" readingOrder="0" vertical="center"/>
    </xf>
    <xf borderId="8" fillId="6" fontId="2" numFmtId="0" xfId="0" applyAlignment="1" applyBorder="1" applyFont="1">
      <alignment horizontal="left" readingOrder="0" vertical="center"/>
    </xf>
    <xf borderId="8" fillId="0" fontId="2" numFmtId="164" xfId="0" applyAlignment="1" applyBorder="1" applyFont="1" applyNumberFormat="1">
      <alignment horizontal="left"/>
    </xf>
    <xf borderId="8" fillId="0" fontId="2" numFmtId="164" xfId="0" applyAlignment="1" applyBorder="1" applyFont="1" applyNumberFormat="1">
      <alignment vertical="center"/>
    </xf>
    <xf borderId="8" fillId="0" fontId="2" numFmtId="167" xfId="0" applyAlignment="1" applyBorder="1" applyFont="1" applyNumberFormat="1">
      <alignment horizontal="left"/>
    </xf>
    <xf borderId="8" fillId="0" fontId="2" numFmtId="167" xfId="0" applyAlignment="1" applyBorder="1" applyFont="1" applyNumberForma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8" fillId="5" fontId="9" numFmtId="0" xfId="0" applyAlignment="1" applyBorder="1" applyFont="1">
      <alignment horizontal="left" readingOrder="0" vertical="center"/>
    </xf>
    <xf borderId="8" fillId="5" fontId="2" numFmtId="0" xfId="0" applyAlignment="1" applyBorder="1" applyFont="1">
      <alignment horizontal="left" vertical="center"/>
    </xf>
    <xf borderId="8" fillId="5" fontId="2" numFmtId="164" xfId="0" applyAlignment="1" applyBorder="1" applyFont="1" applyNumberFormat="1">
      <alignment horizontal="center"/>
    </xf>
    <xf borderId="8" fillId="5" fontId="2" numFmtId="164" xfId="0" applyAlignment="1" applyBorder="1" applyFont="1" applyNumberForma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11" fillId="0" fontId="4" numFmtId="0" xfId="0" applyBorder="1" applyFont="1"/>
    <xf borderId="8" fillId="0" fontId="2" numFmtId="168" xfId="0" applyBorder="1" applyFont="1" applyNumberFormat="1"/>
    <xf borderId="12" fillId="0" fontId="4" numFmtId="0" xfId="0" applyBorder="1" applyFont="1"/>
    <xf borderId="8" fillId="0" fontId="2" numFmtId="164" xfId="0" applyAlignment="1" applyBorder="1" applyFont="1" applyNumberFormat="1">
      <alignment readingOrder="0"/>
    </xf>
    <xf borderId="10" fillId="0" fontId="2" numFmtId="0" xfId="0" applyBorder="1" applyFont="1"/>
    <xf borderId="10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 vertical="center"/>
    </xf>
    <xf borderId="10" fillId="0" fontId="2" numFmtId="164" xfId="0" applyBorder="1" applyFont="1" applyNumberFormat="1"/>
    <xf borderId="10" fillId="0" fontId="2" numFmtId="168" xfId="0" applyBorder="1" applyFont="1" applyNumberFormat="1"/>
    <xf borderId="4" fillId="0" fontId="2" numFmtId="0" xfId="0" applyAlignment="1" applyBorder="1" applyFont="1">
      <alignment horizontal="left" vertical="center"/>
    </xf>
    <xf borderId="4" fillId="0" fontId="2" numFmtId="0" xfId="0" applyBorder="1" applyFont="1"/>
    <xf borderId="13" fillId="0" fontId="2" numFmtId="0" xfId="0" applyAlignment="1" applyBorder="1" applyFont="1">
      <alignment horizontal="center" vertical="center"/>
    </xf>
    <xf borderId="14" fillId="5" fontId="2" numFmtId="0" xfId="0" applyBorder="1" applyFont="1"/>
    <xf borderId="14" fillId="5" fontId="9" numFmtId="0" xfId="0" applyAlignment="1" applyBorder="1" applyFont="1">
      <alignment horizontal="center" readingOrder="0"/>
    </xf>
    <xf borderId="14" fillId="5" fontId="2" numFmtId="164" xfId="0" applyBorder="1" applyFont="1" applyNumberFormat="1"/>
    <xf borderId="15" fillId="5" fontId="2" numFmtId="164" xfId="0" applyBorder="1" applyFont="1" applyNumberFormat="1"/>
    <xf borderId="16" fillId="8" fontId="2" numFmtId="164" xfId="0" applyAlignment="1" applyBorder="1" applyFill="1" applyFont="1" applyNumberFormat="1">
      <alignment horizontal="center" vertical="center"/>
    </xf>
    <xf borderId="8" fillId="7" fontId="2" numFmtId="165" xfId="0" applyAlignment="1" applyBorder="1" applyFont="1" applyNumberFormat="1">
      <alignment horizontal="center" readingOrder="0" shrinkToFit="0" vertical="center" wrapText="1"/>
    </xf>
    <xf borderId="8" fillId="0" fontId="3" numFmtId="0" xfId="0" applyAlignment="1" applyBorder="1" applyFont="1">
      <alignment horizontal="left" vertical="center"/>
    </xf>
    <xf borderId="16" fillId="9" fontId="2" numFmtId="164" xfId="0" applyAlignment="1" applyBorder="1" applyFill="1" applyFont="1" applyNumberFormat="1">
      <alignment horizontal="center" vertical="center"/>
    </xf>
    <xf borderId="14" fillId="7" fontId="2" numFmtId="0" xfId="0" applyBorder="1" applyFont="1"/>
    <xf borderId="8" fillId="10" fontId="10" numFmtId="0" xfId="0" applyAlignment="1" applyBorder="1" applyFill="1" applyFont="1">
      <alignment horizontal="left" readingOrder="0" vertical="center"/>
    </xf>
    <xf borderId="14" fillId="7" fontId="9" numFmtId="0" xfId="0" applyAlignment="1" applyBorder="1" applyFont="1">
      <alignment horizontal="center" readingOrder="0"/>
    </xf>
    <xf borderId="16" fillId="11" fontId="2" numFmtId="164" xfId="0" applyAlignment="1" applyBorder="1" applyFill="1" applyFont="1" applyNumberFormat="1">
      <alignment horizontal="center" vertical="center"/>
    </xf>
    <xf borderId="8" fillId="10" fontId="2" numFmtId="0" xfId="0" applyAlignment="1" applyBorder="1" applyFont="1">
      <alignment horizontal="left" shrinkToFit="0" vertical="center" wrapText="1"/>
    </xf>
    <xf borderId="8" fillId="10" fontId="2" numFmtId="164" xfId="0" applyAlignment="1" applyBorder="1" applyFont="1" applyNumberFormat="1">
      <alignment horizontal="center"/>
    </xf>
    <xf borderId="14" fillId="7" fontId="2" numFmtId="164" xfId="0" applyBorder="1" applyFont="1" applyNumberFormat="1"/>
    <xf borderId="8" fillId="10" fontId="2" numFmtId="164" xfId="0" applyAlignment="1" applyBorder="1" applyFont="1" applyNumberFormat="1">
      <alignment horizontal="center" vertical="center"/>
    </xf>
    <xf borderId="15" fillId="7" fontId="9" numFmtId="164" xfId="0" applyAlignment="1" applyBorder="1" applyFont="1" applyNumberFormat="1">
      <alignment readingOrder="0"/>
    </xf>
    <xf borderId="8" fillId="0" fontId="13" numFmtId="0" xfId="0" applyAlignment="1" applyBorder="1" applyFont="1">
      <alignment horizontal="left" vertical="center"/>
    </xf>
    <xf borderId="8" fillId="0" fontId="13" numFmtId="0" xfId="0" applyAlignment="1" applyBorder="1" applyFont="1">
      <alignment horizontal="left" shrinkToFit="0" vertical="center" wrapText="1"/>
    </xf>
    <xf borderId="8" fillId="0" fontId="13" numFmtId="164" xfId="0" applyAlignment="1" applyBorder="1" applyFont="1" applyNumberFormat="1">
      <alignment horizontal="center"/>
    </xf>
    <xf borderId="8" fillId="0" fontId="13" numFmtId="164" xfId="0" applyAlignment="1" applyBorder="1" applyFont="1" applyNumberFormat="1">
      <alignment horizontal="center" readingOrder="0" vertical="center"/>
    </xf>
    <xf borderId="8" fillId="0" fontId="13" numFmtId="164" xfId="0" applyAlignment="1" applyBorder="1" applyFont="1" applyNumberFormat="1">
      <alignment horizontal="center" vertical="center"/>
    </xf>
    <xf borderId="10" fillId="0" fontId="9" numFmtId="0" xfId="0" applyAlignment="1" applyBorder="1" applyFont="1">
      <alignment horizontal="center" readingOrder="0"/>
    </xf>
    <xf borderId="17" fillId="0" fontId="2" numFmtId="164" xfId="0" applyBorder="1" applyFont="1" applyNumberFormat="1"/>
    <xf borderId="8" fillId="0" fontId="13" numFmtId="0" xfId="0" applyAlignment="1" applyBorder="1" applyFont="1">
      <alignment horizontal="left" readingOrder="0" vertical="center"/>
    </xf>
    <xf borderId="4" fillId="0" fontId="2" numFmtId="164" xfId="0" applyBorder="1" applyFont="1" applyNumberFormat="1"/>
    <xf borderId="8" fillId="6" fontId="2" numFmtId="0" xfId="0" applyAlignment="1" applyBorder="1" applyFont="1">
      <alignment horizontal="left" shrinkToFit="0" vertical="center" wrapText="1"/>
    </xf>
    <xf borderId="8" fillId="6" fontId="11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left" shrinkToFit="0" vertical="center" wrapText="1"/>
    </xf>
    <xf borderId="10" fillId="6" fontId="2" numFmtId="164" xfId="0" applyAlignment="1" applyBorder="1" applyFont="1" applyNumberFormat="1">
      <alignment horizontal="center" vertical="center"/>
    </xf>
    <xf borderId="8" fillId="9" fontId="2" numFmtId="165" xfId="0" applyAlignment="1" applyBorder="1" applyFont="1" applyNumberFormat="1">
      <alignment horizontal="center" shrinkToFit="0" vertical="center" wrapText="1"/>
    </xf>
    <xf borderId="8" fillId="6" fontId="2" numFmtId="164" xfId="0" applyAlignment="1" applyBorder="1" applyFont="1" applyNumberFormat="1">
      <alignment vertical="center"/>
    </xf>
    <xf borderId="14" fillId="9" fontId="2" numFmtId="0" xfId="0" applyBorder="1" applyFont="1"/>
    <xf borderId="8" fillId="0" fontId="13" numFmtId="164" xfId="0" applyAlignment="1" applyBorder="1" applyFont="1" applyNumberFormat="1">
      <alignment vertical="center"/>
    </xf>
    <xf borderId="14" fillId="9" fontId="9" numFmtId="0" xfId="0" applyAlignment="1" applyBorder="1" applyFont="1">
      <alignment horizontal="center" readingOrder="0"/>
    </xf>
    <xf borderId="14" fillId="9" fontId="2" numFmtId="164" xfId="0" applyBorder="1" applyFont="1" applyNumberFormat="1"/>
    <xf borderId="15" fillId="9" fontId="2" numFmtId="164" xfId="0" applyBorder="1" applyFont="1" applyNumberFormat="1"/>
    <xf borderId="18" fillId="9" fontId="2" numFmtId="164" xfId="0" applyBorder="1" applyFont="1" applyNumberFormat="1"/>
    <xf borderId="18" fillId="5" fontId="2" numFmtId="164" xfId="0" applyBorder="1" applyFont="1" applyNumberFormat="1"/>
    <xf borderId="8" fillId="6" fontId="2" numFmtId="0" xfId="0" applyBorder="1" applyFont="1"/>
    <xf borderId="1" fillId="0" fontId="2" numFmtId="164" xfId="0" applyBorder="1" applyFont="1" applyNumberFormat="1"/>
    <xf borderId="8" fillId="0" fontId="3" numFmtId="0" xfId="0" applyAlignment="1" applyBorder="1" applyFont="1">
      <alignment horizontal="left" readingOrder="0" vertical="center"/>
    </xf>
    <xf borderId="8" fillId="3" fontId="2" numFmtId="164" xfId="0" applyAlignment="1" applyBorder="1" applyFont="1" applyNumberFormat="1">
      <alignment horizontal="center" vertical="center"/>
    </xf>
    <xf borderId="8" fillId="6" fontId="2" numFmtId="164" xfId="0" applyAlignment="1" applyBorder="1" applyFont="1" applyNumberFormat="1">
      <alignment horizontal="center" readingOrder="0" vertical="center"/>
    </xf>
    <xf borderId="18" fillId="7" fontId="2" numFmtId="164" xfId="0" applyBorder="1" applyFont="1" applyNumberFormat="1"/>
    <xf borderId="8" fillId="6" fontId="2" numFmtId="0" xfId="0" applyAlignment="1" applyBorder="1" applyFont="1">
      <alignment horizontal="left" readingOrder="0" shrinkToFit="0" vertical="center" wrapText="1"/>
    </xf>
    <xf borderId="8" fillId="10" fontId="9" numFmtId="0" xfId="0" applyAlignment="1" applyBorder="1" applyFont="1">
      <alignment horizontal="left" readingOrder="0" shrinkToFit="0" vertical="center" wrapText="1"/>
    </xf>
    <xf borderId="8" fillId="10" fontId="9" numFmtId="164" xfId="0" applyAlignment="1" applyBorder="1" applyFont="1" applyNumberFormat="1">
      <alignment horizontal="center" readingOrder="0" vertical="center"/>
    </xf>
    <xf borderId="3" fillId="0" fontId="2" numFmtId="0" xfId="0" applyBorder="1" applyFont="1"/>
    <xf borderId="19" fillId="0" fontId="2" numFmtId="0" xfId="0" applyAlignment="1" applyBorder="1" applyFont="1">
      <alignment horizontal="center"/>
    </xf>
    <xf borderId="20" fillId="7" fontId="2" numFmtId="0" xfId="0" applyBorder="1" applyFont="1"/>
    <xf borderId="14" fillId="7" fontId="2" numFmtId="0" xfId="0" applyAlignment="1" applyBorder="1" applyFont="1">
      <alignment horizontal="center"/>
    </xf>
    <xf borderId="10" fillId="0" fontId="2" numFmtId="167" xfId="0" applyBorder="1" applyFont="1" applyNumberFormat="1"/>
    <xf borderId="18" fillId="12" fontId="2" numFmtId="164" xfId="0" applyBorder="1" applyFill="1" applyFont="1" applyNumberFormat="1"/>
    <xf borderId="21" fillId="0" fontId="2" numFmtId="0" xfId="0" applyBorder="1" applyFont="1"/>
    <xf borderId="1" fillId="0" fontId="2" numFmtId="0" xfId="0" applyAlignment="1" applyBorder="1" applyFont="1">
      <alignment horizontal="center"/>
    </xf>
    <xf borderId="3" fillId="9" fontId="2" numFmtId="0" xfId="0" applyBorder="1" applyFont="1"/>
    <xf borderId="4" fillId="9" fontId="9" numFmtId="0" xfId="0" applyAlignment="1" applyBorder="1" applyFont="1">
      <alignment horizontal="center" readingOrder="0"/>
    </xf>
    <xf borderId="4" fillId="9" fontId="2" numFmtId="164" xfId="0" applyBorder="1" applyFont="1" applyNumberFormat="1"/>
    <xf borderId="22" fillId="9" fontId="2" numFmtId="0" xfId="0" applyBorder="1" applyFont="1"/>
    <xf borderId="18" fillId="9" fontId="9" numFmtId="0" xfId="0" applyAlignment="1" applyBorder="1" applyFont="1">
      <alignment horizontal="center" readingOrder="0"/>
    </xf>
    <xf borderId="23" fillId="9" fontId="2" numFmtId="164" xfId="0" applyBorder="1" applyFont="1" applyNumberFormat="1"/>
    <xf borderId="8" fillId="6" fontId="13" numFmtId="164" xfId="0" applyAlignment="1" applyBorder="1" applyFont="1" applyNumberFormat="1">
      <alignment horizontal="center" vertical="center"/>
    </xf>
    <xf borderId="8" fillId="13" fontId="2" numFmtId="165" xfId="0" applyAlignment="1" applyBorder="1" applyFill="1" applyFont="1" applyNumberFormat="1">
      <alignment horizontal="center" shrinkToFit="0" vertical="center" wrapText="1"/>
    </xf>
    <xf borderId="3" fillId="13" fontId="2" numFmtId="0" xfId="0" applyBorder="1" applyFont="1"/>
    <xf borderId="4" fillId="13" fontId="9" numFmtId="0" xfId="0" applyAlignment="1" applyBorder="1" applyFont="1">
      <alignment horizontal="center" readingOrder="0"/>
    </xf>
    <xf borderId="4" fillId="13" fontId="2" numFmtId="164" xfId="0" applyBorder="1" applyFont="1" applyNumberFormat="1"/>
    <xf borderId="18" fillId="13" fontId="2" numFmtId="164" xfId="0" applyBorder="1" applyFont="1" applyNumberFormat="1"/>
    <xf borderId="3" fillId="7" fontId="2" numFmtId="0" xfId="0" applyBorder="1" applyFont="1"/>
    <xf borderId="4" fillId="7" fontId="2" numFmtId="0" xfId="0" applyAlignment="1" applyBorder="1" applyFont="1">
      <alignment horizontal="center"/>
    </xf>
    <xf borderId="4" fillId="7" fontId="2" numFmtId="164" xfId="0" applyBorder="1" applyFont="1" applyNumberFormat="1"/>
    <xf borderId="8" fillId="6" fontId="2" numFmtId="164" xfId="0" applyAlignment="1" applyBorder="1" applyFont="1" applyNumberFormat="1">
      <alignment readingOrder="0"/>
    </xf>
    <xf borderId="8" fillId="12" fontId="2" numFmtId="165" xfId="0" applyAlignment="1" applyBorder="1" applyFont="1" applyNumberFormat="1">
      <alignment horizontal="center" shrinkToFit="0" vertical="center" wrapText="1"/>
    </xf>
    <xf borderId="3" fillId="12" fontId="2" numFmtId="0" xfId="0" applyBorder="1" applyFont="1"/>
    <xf borderId="4" fillId="12" fontId="2" numFmtId="0" xfId="0" applyAlignment="1" applyBorder="1" applyFont="1">
      <alignment horizontal="center"/>
    </xf>
    <xf borderId="8" fillId="6" fontId="9" numFmtId="164" xfId="0" applyAlignment="1" applyBorder="1" applyFont="1" applyNumberFormat="1">
      <alignment readingOrder="0"/>
    </xf>
    <xf borderId="4" fillId="12" fontId="2" numFmtId="164" xfId="0" applyBorder="1" applyFont="1" applyNumberFormat="1"/>
    <xf borderId="8" fillId="0" fontId="14" numFmtId="164" xfId="0" applyAlignment="1" applyBorder="1" applyFont="1" applyNumberFormat="1">
      <alignment horizontal="center" readingOrder="0" vertical="center"/>
    </xf>
    <xf borderId="24" fillId="7" fontId="2" numFmtId="164" xfId="0" applyBorder="1" applyFont="1" applyNumberFormat="1"/>
    <xf borderId="24" fillId="13" fontId="2" numFmtId="164" xfId="0" applyBorder="1" applyFont="1" applyNumberFormat="1"/>
    <xf borderId="8" fillId="10" fontId="9" numFmtId="164" xfId="0" applyAlignment="1" applyBorder="1" applyFont="1" applyNumberFormat="1">
      <alignment readingOrder="0"/>
    </xf>
    <xf borderId="24" fillId="12" fontId="2" numFmtId="164" xfId="0" applyBorder="1" applyFont="1" applyNumberFormat="1"/>
    <xf borderId="10" fillId="0" fontId="2" numFmtId="0" xfId="0" applyAlignment="1" applyBorder="1" applyFont="1">
      <alignment horizontal="left" vertical="center"/>
    </xf>
    <xf borderId="24" fillId="9" fontId="2" numFmtId="164" xfId="0" applyBorder="1" applyFont="1" applyNumberFormat="1"/>
    <xf borderId="10" fillId="0" fontId="13" numFmtId="164" xfId="0" applyAlignment="1" applyBorder="1" applyFont="1" applyNumberFormat="1">
      <alignment horizontal="center" vertical="center"/>
    </xf>
    <xf borderId="8" fillId="12" fontId="2" numFmtId="164" xfId="0" applyBorder="1" applyFont="1" applyNumberFormat="1"/>
    <xf borderId="10" fillId="0" fontId="2" numFmtId="164" xfId="0" applyAlignment="1" applyBorder="1" applyFont="1" applyNumberFormat="1">
      <alignment horizontal="center" readingOrder="0" vertical="center"/>
    </xf>
    <xf borderId="10" fillId="0" fontId="9" numFmtId="164" xfId="0" applyAlignment="1" applyBorder="1" applyFont="1" applyNumberFormat="1">
      <alignment horizontal="center" readingOrder="0" vertical="center"/>
    </xf>
    <xf borderId="8" fillId="6" fontId="2" numFmtId="164" xfId="0" applyAlignment="1" applyBorder="1" applyFont="1" applyNumberFormat="1">
      <alignment readingOrder="0"/>
    </xf>
    <xf borderId="24" fillId="7" fontId="9" numFmtId="164" xfId="0" applyAlignment="1" applyBorder="1" applyFont="1" applyNumberFormat="1">
      <alignment readingOrder="0"/>
    </xf>
    <xf borderId="8" fillId="14" fontId="15" numFmtId="165" xfId="0" applyAlignment="1" applyBorder="1" applyFill="1" applyFont="1" applyNumberFormat="1">
      <alignment horizontal="center" shrinkToFit="0" vertical="center" wrapText="1"/>
    </xf>
    <xf borderId="8" fillId="6" fontId="9" numFmtId="164" xfId="0" applyAlignment="1" applyBorder="1" applyFont="1" applyNumberFormat="1">
      <alignment readingOrder="0"/>
    </xf>
    <xf borderId="3" fillId="14" fontId="15" numFmtId="0" xfId="0" applyBorder="1" applyFont="1"/>
    <xf borderId="4" fillId="14" fontId="16" numFmtId="169" xfId="0" applyAlignment="1" applyBorder="1" applyFont="1" applyNumberFormat="1">
      <alignment horizontal="center" readingOrder="0"/>
    </xf>
    <xf borderId="4" fillId="14" fontId="2" numFmtId="164" xfId="0" applyBorder="1" applyFont="1" applyNumberFormat="1"/>
    <xf borderId="24" fillId="14" fontId="2" numFmtId="164" xfId="0" applyBorder="1" applyFont="1" applyNumberFormat="1"/>
    <xf borderId="18" fillId="14" fontId="2" numFmtId="164" xfId="0" applyBorder="1" applyFont="1" applyNumberFormat="1"/>
    <xf borderId="8" fillId="0" fontId="6" numFmtId="0" xfId="0" applyAlignment="1" applyBorder="1" applyFont="1">
      <alignment horizontal="left" readingOrder="0" vertical="center"/>
    </xf>
    <xf borderId="10" fillId="7" fontId="2" numFmtId="165" xfId="0" applyAlignment="1" applyBorder="1" applyFont="1" applyNumberFormat="1">
      <alignment horizontal="center" readingOrder="0" shrinkToFit="0" vertical="center" wrapText="1"/>
    </xf>
    <xf borderId="8" fillId="0" fontId="17" numFmtId="0" xfId="0" applyAlignment="1" applyBorder="1" applyFont="1">
      <alignment horizontal="left" readingOrder="0" vertical="center"/>
    </xf>
    <xf borderId="25" fillId="7" fontId="2" numFmtId="0" xfId="0" applyAlignment="1" applyBorder="1" applyFont="1">
      <alignment readingOrder="0"/>
    </xf>
    <xf borderId="1" fillId="7" fontId="2" numFmtId="0" xfId="0" applyAlignment="1" applyBorder="1" applyFont="1">
      <alignment horizontal="center" readingOrder="0"/>
    </xf>
    <xf borderId="1" fillId="7" fontId="2" numFmtId="164" xfId="0" applyBorder="1" applyFont="1" applyNumberFormat="1"/>
    <xf borderId="26" fillId="7" fontId="2" numFmtId="164" xfId="0" applyAlignment="1" applyBorder="1" applyFont="1" applyNumberFormat="1">
      <alignment readingOrder="0"/>
    </xf>
    <xf borderId="8" fillId="7" fontId="2" numFmtId="165" xfId="0" applyAlignment="1" applyBorder="1" applyFont="1" applyNumberFormat="1">
      <alignment horizontal="center" readingOrder="0" shrinkToFit="0" vertical="center" wrapText="1"/>
    </xf>
    <xf borderId="8" fillId="7" fontId="2" numFmtId="0" xfId="0" applyAlignment="1" applyBorder="1" applyFont="1">
      <alignment readingOrder="0"/>
    </xf>
    <xf borderId="8" fillId="7" fontId="2" numFmtId="0" xfId="0" applyAlignment="1" applyBorder="1" applyFont="1">
      <alignment horizontal="center" readingOrder="0"/>
    </xf>
    <xf borderId="8" fillId="7" fontId="2" numFmtId="164" xfId="0" applyBorder="1" applyFont="1" applyNumberFormat="1"/>
    <xf borderId="8" fillId="7" fontId="2" numFmtId="164" xfId="0" applyAlignment="1" applyBorder="1" applyFont="1" applyNumberFormat="1">
      <alignment readingOrder="0"/>
    </xf>
    <xf borderId="8" fillId="12" fontId="2" numFmtId="165" xfId="0" applyAlignment="1" applyBorder="1" applyFont="1" applyNumberFormat="1">
      <alignment horizontal="center" shrinkToFit="0" vertical="center" wrapText="1"/>
    </xf>
    <xf borderId="8" fillId="12" fontId="2" numFmtId="0" xfId="0" applyAlignment="1" applyBorder="1" applyFont="1">
      <alignment readingOrder="0"/>
    </xf>
    <xf borderId="8" fillId="12" fontId="2" numFmtId="0" xfId="0" applyAlignment="1" applyBorder="1" applyFont="1">
      <alignment horizontal="center" readingOrder="0"/>
    </xf>
    <xf borderId="8" fillId="12" fontId="2" numFmtId="164" xfId="0" applyBorder="1" applyFont="1" applyNumberFormat="1"/>
    <xf borderId="8" fillId="12" fontId="2" numFmtId="164" xfId="0" applyAlignment="1" applyBorder="1" applyFont="1" applyNumberFormat="1">
      <alignment readingOrder="0"/>
    </xf>
    <xf borderId="8" fillId="0" fontId="9" numFmtId="164" xfId="0" applyAlignment="1" applyBorder="1" applyFont="1" applyNumberFormat="1">
      <alignment readingOrder="0"/>
    </xf>
    <xf borderId="8" fillId="7" fontId="2" numFmtId="0" xfId="0" applyAlignment="1" applyBorder="1" applyFont="1">
      <alignment horizontal="center" readingOrder="0" shrinkToFit="0" vertical="center" wrapText="1"/>
    </xf>
    <xf borderId="8" fillId="13" fontId="2" numFmtId="165" xfId="0" applyAlignment="1" applyBorder="1" applyFont="1" applyNumberFormat="1">
      <alignment horizontal="center" readingOrder="0" shrinkToFit="0" vertical="center" wrapText="1"/>
    </xf>
    <xf borderId="8" fillId="13" fontId="2" numFmtId="0" xfId="0" applyAlignment="1" applyBorder="1" applyFont="1">
      <alignment readingOrder="0"/>
    </xf>
    <xf borderId="8" fillId="13" fontId="9" numFmtId="0" xfId="0" applyAlignment="1" applyBorder="1" applyFont="1">
      <alignment horizontal="center" readingOrder="0"/>
    </xf>
    <xf borderId="8" fillId="13" fontId="2" numFmtId="164" xfId="0" applyBorder="1" applyFont="1" applyNumberFormat="1"/>
    <xf borderId="0" fillId="0" fontId="2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0" fillId="0" fontId="18" numFmtId="0" xfId="0" applyAlignment="1" applyFont="1">
      <alignment horizontal="center" readingOrder="0"/>
    </xf>
    <xf borderId="0" fillId="0" fontId="5" numFmtId="164" xfId="0" applyAlignment="1" applyFont="1" applyNumberFormat="1">
      <alignment readingOrder="0"/>
    </xf>
    <xf borderId="0" fillId="0" fontId="18" numFmtId="10" xfId="0" applyAlignment="1" applyFont="1" applyNumberFormat="1">
      <alignment horizontal="center" readingOrder="0"/>
    </xf>
    <xf borderId="8" fillId="12" fontId="2" numFmtId="165" xfId="0" applyAlignment="1" applyBorder="1" applyFont="1" applyNumberFormat="1">
      <alignment horizontal="center" readingOrder="0" shrinkToFit="0" vertical="center" wrapText="1"/>
    </xf>
    <xf borderId="1" fillId="8" fontId="2" numFmtId="164" xfId="0" applyBorder="1" applyFont="1" applyNumberFormat="1"/>
    <xf borderId="0" fillId="0" fontId="5" numFmtId="10" xfId="0" applyAlignment="1" applyFont="1" applyNumberFormat="1">
      <alignment readingOrder="0"/>
    </xf>
    <xf borderId="8" fillId="0" fontId="2" numFmtId="164" xfId="0" applyBorder="1" applyFont="1" applyNumberFormat="1"/>
    <xf borderId="0" fillId="0" fontId="1" numFmtId="10" xfId="0" applyFont="1" applyNumberFormat="1"/>
    <xf borderId="8" fillId="0" fontId="2" numFmtId="165" xfId="0" applyAlignment="1" applyBorder="1" applyFont="1" applyNumberForma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 readingOrder="0"/>
    </xf>
    <xf borderId="0" fillId="0" fontId="2" numFmtId="0" xfId="0" applyFont="1"/>
    <xf borderId="0" fillId="0" fontId="2" numFmtId="168" xfId="0" applyFont="1" applyNumberFormat="1"/>
    <xf borderId="8" fillId="15" fontId="2" numFmtId="165" xfId="0" applyAlignment="1" applyBorder="1" applyFill="1" applyFont="1" applyNumberFormat="1">
      <alignment horizontal="center" readingOrder="0" shrinkToFit="0" vertical="center" wrapText="1"/>
    </xf>
    <xf borderId="8" fillId="15" fontId="19" numFmtId="0" xfId="0" applyAlignment="1" applyBorder="1" applyFont="1">
      <alignment horizontal="center" readingOrder="0"/>
    </xf>
    <xf borderId="8" fillId="15" fontId="2" numFmtId="164" xfId="0" applyBorder="1" applyFont="1" applyNumberFormat="1"/>
    <xf borderId="8" fillId="15" fontId="2" numFmtId="164" xfId="0" applyAlignment="1" applyBorder="1" applyFont="1" applyNumberFormat="1">
      <alignment readingOrder="0"/>
    </xf>
    <xf borderId="8" fillId="16" fontId="2" numFmtId="165" xfId="0" applyAlignment="1" applyBorder="1" applyFill="1" applyFont="1" applyNumberFormat="1">
      <alignment horizontal="center" readingOrder="0" shrinkToFit="0" vertical="center" wrapText="1"/>
    </xf>
    <xf borderId="8" fillId="16" fontId="2" numFmtId="0" xfId="0" applyAlignment="1" applyBorder="1" applyFont="1">
      <alignment readingOrder="0"/>
    </xf>
    <xf borderId="8" fillId="16" fontId="2" numFmtId="0" xfId="0" applyAlignment="1" applyBorder="1" applyFont="1">
      <alignment horizontal="center" readingOrder="0"/>
    </xf>
    <xf borderId="8" fillId="16" fontId="2" numFmtId="164" xfId="0" applyAlignment="1" applyBorder="1" applyFont="1" applyNumberFormat="1">
      <alignment readingOrder="0"/>
    </xf>
    <xf borderId="8" fillId="16" fontId="2" numFmtId="164" xfId="0" applyBorder="1" applyFont="1" applyNumberFormat="1"/>
    <xf borderId="8" fillId="15" fontId="2" numFmtId="0" xfId="0" applyAlignment="1" applyBorder="1" applyFont="1">
      <alignment readingOrder="0"/>
    </xf>
    <xf borderId="8" fillId="17" fontId="2" numFmtId="165" xfId="0" applyAlignment="1" applyBorder="1" applyFill="1" applyFont="1" applyNumberFormat="1">
      <alignment horizontal="center" readingOrder="0" shrinkToFit="0" vertical="center" wrapText="1"/>
    </xf>
    <xf borderId="8" fillId="17" fontId="2" numFmtId="0" xfId="0" applyAlignment="1" applyBorder="1" applyFont="1">
      <alignment readingOrder="0"/>
    </xf>
    <xf borderId="8" fillId="17" fontId="9" numFmtId="0" xfId="0" applyAlignment="1" applyBorder="1" applyFont="1">
      <alignment horizontal="center" readingOrder="0"/>
    </xf>
    <xf borderId="8" fillId="17" fontId="2" numFmtId="164" xfId="0" applyAlignment="1" applyBorder="1" applyFont="1" applyNumberFormat="1">
      <alignment readingOrder="0"/>
    </xf>
    <xf borderId="8" fillId="17" fontId="2" numFmtId="164" xfId="0" applyBorder="1" applyFont="1" applyNumberFormat="1"/>
    <xf borderId="8" fillId="7" fontId="9" numFmtId="170" xfId="0" applyAlignment="1" applyBorder="1" applyFont="1" applyNumberFormat="1">
      <alignment horizontal="center" readingOrder="0" shrinkToFit="0" vertical="center" wrapText="1"/>
    </xf>
    <xf borderId="8" fillId="15" fontId="20" numFmtId="0" xfId="0" applyAlignment="1" applyBorder="1" applyFont="1">
      <alignment horizontal="center" readingOrder="0" shrinkToFit="0" vertical="center" wrapText="1"/>
    </xf>
    <xf borderId="8" fillId="7" fontId="9" numFmtId="0" xfId="0" applyAlignment="1" applyBorder="1" applyFont="1">
      <alignment readingOrder="0"/>
    </xf>
    <xf borderId="8" fillId="18" fontId="2" numFmtId="165" xfId="0" applyAlignment="1" applyBorder="1" applyFill="1" applyFont="1" applyNumberFormat="1">
      <alignment horizontal="center" readingOrder="0" shrinkToFit="0" vertical="center" wrapText="1"/>
    </xf>
    <xf borderId="8" fillId="18" fontId="2" numFmtId="0" xfId="0" applyAlignment="1" applyBorder="1" applyFont="1">
      <alignment readingOrder="0"/>
    </xf>
    <xf borderId="8" fillId="18" fontId="2" numFmtId="0" xfId="0" applyAlignment="1" applyBorder="1" applyFont="1">
      <alignment horizontal="center" readingOrder="0"/>
    </xf>
    <xf borderId="8" fillId="18" fontId="2" numFmtId="164" xfId="0" applyBorder="1" applyFont="1" applyNumberFormat="1"/>
    <xf borderId="8" fillId="18" fontId="2" numFmtId="164" xfId="0" applyAlignment="1" applyBorder="1" applyFont="1" applyNumberFormat="1">
      <alignment readingOrder="0"/>
    </xf>
    <xf borderId="8" fillId="15" fontId="19" numFmtId="0" xfId="0" applyAlignment="1" applyBorder="1" applyFont="1">
      <alignment horizontal="center" readingOrder="0" shrinkToFit="0" vertical="center" wrapText="1"/>
    </xf>
    <xf borderId="8" fillId="7" fontId="9" numFmtId="164" xfId="0" applyAlignment="1" applyBorder="1" applyFont="1" applyNumberFormat="1">
      <alignment readingOrder="0"/>
    </xf>
    <xf borderId="8" fillId="18" fontId="9" numFmtId="165" xfId="0" applyAlignment="1" applyBorder="1" applyFont="1" applyNumberFormat="1">
      <alignment horizontal="center" readingOrder="0" shrinkToFit="0" vertical="center" wrapText="1"/>
    </xf>
    <xf borderId="8" fillId="18" fontId="9" numFmtId="0" xfId="0" applyAlignment="1" applyBorder="1" applyFont="1">
      <alignment readingOrder="0"/>
    </xf>
    <xf borderId="8" fillId="18" fontId="9" numFmtId="0" xfId="0" applyAlignment="1" applyBorder="1" applyFont="1">
      <alignment horizontal="center" readingOrder="0"/>
    </xf>
    <xf borderId="8" fillId="18" fontId="9" numFmtId="164" xfId="0" applyAlignment="1" applyBorder="1" applyFont="1" applyNumberFormat="1">
      <alignment readingOrder="0"/>
    </xf>
    <xf borderId="8" fillId="7" fontId="9" numFmtId="165" xfId="0" applyAlignment="1" applyBorder="1" applyFont="1" applyNumberFormat="1">
      <alignment horizontal="center" readingOrder="0" shrinkToFit="0" vertical="center" wrapText="1"/>
    </xf>
    <xf borderId="8" fillId="7" fontId="9" numFmtId="0" xfId="0" applyAlignment="1" applyBorder="1" applyFont="1">
      <alignment horizontal="center" readingOrder="0"/>
    </xf>
    <xf borderId="8" fillId="0" fontId="9" numFmtId="165" xfId="0" applyAlignment="1" applyBorder="1" applyFont="1" applyNumberFormat="1">
      <alignment horizontal="center" readingOrder="0" shrinkToFit="0" vertical="center" wrapText="1"/>
    </xf>
    <xf borderId="8" fillId="0" fontId="9" numFmtId="0" xfId="0" applyAlignment="1" applyBorder="1" applyFont="1">
      <alignment readingOrder="0"/>
    </xf>
    <xf borderId="8" fillId="0" fontId="9" numFmtId="0" xfId="0" applyAlignment="1" applyBorder="1" applyFont="1">
      <alignment horizontal="center" readingOrder="0"/>
    </xf>
    <xf borderId="8" fillId="6" fontId="9" numFmtId="165" xfId="0" applyAlignment="1" applyBorder="1" applyFont="1" applyNumberFormat="1">
      <alignment horizontal="center" readingOrder="0" shrinkToFit="0" vertical="center" wrapText="1"/>
    </xf>
    <xf borderId="8" fillId="6" fontId="9" numFmtId="0" xfId="0" applyAlignment="1" applyBorder="1" applyFont="1">
      <alignment readingOrder="0"/>
    </xf>
    <xf borderId="8" fillId="6" fontId="9" numFmtId="0" xfId="0" applyAlignment="1" applyBorder="1" applyFont="1">
      <alignment horizontal="center" readingOrder="0"/>
    </xf>
    <xf borderId="8" fillId="6" fontId="2" numFmtId="164" xfId="0" applyBorder="1" applyFont="1" applyNumberFormat="1"/>
    <xf borderId="8" fillId="15" fontId="9" numFmtId="165" xfId="0" applyAlignment="1" applyBorder="1" applyFont="1" applyNumberFormat="1">
      <alignment horizontal="center" readingOrder="0" shrinkToFit="0" vertical="center" wrapText="1"/>
    </xf>
    <xf borderId="8" fillId="15" fontId="9" numFmtId="0" xfId="0" applyAlignment="1" applyBorder="1" applyFont="1">
      <alignment readingOrder="0"/>
    </xf>
    <xf borderId="8" fillId="15" fontId="9" numFmtId="164" xfId="0" applyAlignment="1" applyBorder="1" applyFont="1" applyNumberFormat="1">
      <alignment readingOrder="0"/>
    </xf>
    <xf borderId="8" fillId="17" fontId="9" numFmtId="165" xfId="0" applyAlignment="1" applyBorder="1" applyFont="1" applyNumberFormat="1">
      <alignment horizontal="center" readingOrder="0" shrinkToFit="0" vertical="center" wrapText="1"/>
    </xf>
    <xf borderId="8" fillId="17" fontId="9" numFmtId="0" xfId="0" applyAlignment="1" applyBorder="1" applyFont="1">
      <alignment readingOrder="0"/>
    </xf>
    <xf borderId="8" fillId="19" fontId="9" numFmtId="165" xfId="0" applyAlignment="1" applyBorder="1" applyFill="1" applyFont="1" applyNumberFormat="1">
      <alignment horizontal="center" readingOrder="0" shrinkToFit="0" vertical="center" wrapText="1"/>
    </xf>
    <xf borderId="8" fillId="19" fontId="9" numFmtId="0" xfId="0" applyAlignment="1" applyBorder="1" applyFont="1">
      <alignment readingOrder="0"/>
    </xf>
    <xf borderId="8" fillId="19" fontId="9" numFmtId="0" xfId="0" applyAlignment="1" applyBorder="1" applyFont="1">
      <alignment horizontal="center" readingOrder="0"/>
    </xf>
    <xf borderId="8" fillId="19" fontId="2" numFmtId="164" xfId="0" applyBorder="1" applyFont="1" applyNumberFormat="1"/>
    <xf borderId="8" fillId="19" fontId="9" numFmtId="164" xfId="0" applyAlignment="1" applyBorder="1" applyFont="1" applyNumberFormat="1">
      <alignment readingOrder="0"/>
    </xf>
    <xf borderId="8" fillId="0" fontId="9" numFmtId="171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7" fillId="3" fontId="2" numFmtId="0" xfId="0" applyBorder="1" applyFont="1"/>
    <xf borderId="28" fillId="3" fontId="2" numFmtId="0" xfId="0" applyAlignment="1" applyBorder="1" applyFont="1">
      <alignment horizontal="center"/>
    </xf>
    <xf borderId="29" fillId="3" fontId="2" numFmtId="164" xfId="0" applyBorder="1" applyFont="1" applyNumberFormat="1"/>
    <xf borderId="28" fillId="3" fontId="2" numFmtId="164" xfId="0" applyBorder="1" applyFont="1" applyNumberFormat="1"/>
    <xf borderId="30" fillId="3" fontId="2" numFmtId="168" xfId="0" applyBorder="1" applyFont="1" applyNumberFormat="1"/>
    <xf borderId="31" fillId="13" fontId="6" numFmtId="0" xfId="0" applyAlignment="1" applyBorder="1" applyFont="1">
      <alignment horizontal="center" readingOrder="0"/>
    </xf>
    <xf borderId="32" fillId="0" fontId="4" numFmtId="0" xfId="0" applyBorder="1" applyFont="1"/>
    <xf borderId="8" fillId="5" fontId="9" numFmtId="164" xfId="0" applyAlignment="1" applyBorder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5" numFmtId="171" xfId="0" applyAlignment="1" applyFont="1" applyNumberFormat="1">
      <alignment readingOrder="0"/>
    </xf>
    <xf borderId="5" fillId="13" fontId="3" numFmtId="164" xfId="0" applyBorder="1" applyFont="1" applyNumberForma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umahgue.id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rumahgue.id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89"/>
    <col customWidth="1" min="2" max="2" width="35.44"/>
    <col customWidth="1" min="3" max="3" width="11.0"/>
    <col customWidth="1" min="4" max="4" width="16.0"/>
    <col customWidth="1" min="5" max="6" width="15.78"/>
    <col customWidth="1" min="7" max="7" width="26.11"/>
    <col customWidth="1" min="8" max="8" width="18.44"/>
    <col customWidth="1" min="9" max="9" width="11.0"/>
    <col customWidth="1" min="10" max="10" width="14.0"/>
    <col customWidth="1" min="11" max="11" width="14.22"/>
    <col customWidth="1" min="12" max="12" width="13.67"/>
    <col customWidth="1" min="13" max="27" width="10.89"/>
  </cols>
  <sheetData>
    <row r="1" ht="16.5" customHeight="1">
      <c r="A1" s="1"/>
      <c r="C1" s="3"/>
      <c r="D1" s="7"/>
      <c r="E1" s="7"/>
      <c r="F1" s="7"/>
    </row>
    <row r="2" ht="16.5" customHeight="1">
      <c r="A2" s="9" t="s">
        <v>4</v>
      </c>
      <c r="C2" s="3"/>
      <c r="D2" s="7"/>
      <c r="E2" s="7"/>
      <c r="F2" s="7"/>
      <c r="H2" s="12" t="s">
        <v>9</v>
      </c>
    </row>
    <row r="3" ht="21.75" hidden="1" customHeight="1">
      <c r="A3" s="15" t="s">
        <v>15</v>
      </c>
      <c r="B3" s="17" t="s">
        <v>17</v>
      </c>
      <c r="C3" s="17" t="s">
        <v>18</v>
      </c>
      <c r="D3" s="20" t="s">
        <v>19</v>
      </c>
      <c r="E3" s="20" t="s">
        <v>21</v>
      </c>
      <c r="F3" s="20" t="s">
        <v>22</v>
      </c>
      <c r="H3" s="17" t="s">
        <v>17</v>
      </c>
      <c r="I3" s="17" t="s">
        <v>18</v>
      </c>
      <c r="J3" s="20" t="s">
        <v>19</v>
      </c>
      <c r="K3" s="20" t="s">
        <v>21</v>
      </c>
      <c r="L3" s="20" t="s">
        <v>22</v>
      </c>
    </row>
    <row r="4" ht="16.5" customHeight="1">
      <c r="A4" s="23"/>
      <c r="B4" s="26" t="s">
        <v>25</v>
      </c>
      <c r="C4" s="29" t="s">
        <v>27</v>
      </c>
      <c r="D4" s="32">
        <v>1.5314E8</v>
      </c>
      <c r="E4" s="32">
        <v>0.0</v>
      </c>
      <c r="F4" s="32">
        <f>D4-E4</f>
        <v>153140000</v>
      </c>
      <c r="H4" s="26" t="s">
        <v>28</v>
      </c>
      <c r="I4" s="35"/>
      <c r="J4" s="37">
        <v>100100.0</v>
      </c>
      <c r="K4" s="37">
        <v>0.0</v>
      </c>
      <c r="L4" s="37">
        <f>J4-K4</f>
        <v>100100</v>
      </c>
    </row>
    <row r="5" ht="16.5" customHeight="1">
      <c r="A5" s="40">
        <v>45746.0</v>
      </c>
      <c r="B5" s="42" t="s">
        <v>33</v>
      </c>
      <c r="C5" s="44" t="s">
        <v>27</v>
      </c>
      <c r="D5" s="45">
        <v>0.0</v>
      </c>
      <c r="E5" s="45">
        <v>8.2E7</v>
      </c>
      <c r="F5" s="45">
        <f>D4-E5</f>
        <v>71140000</v>
      </c>
      <c r="H5" s="42" t="s">
        <v>39</v>
      </c>
      <c r="I5" s="44" t="s">
        <v>27</v>
      </c>
      <c r="J5" s="48">
        <v>0.0</v>
      </c>
      <c r="K5" s="48">
        <v>70000.0</v>
      </c>
      <c r="L5" s="48">
        <f t="shared" ref="L5:L26" si="1">L4+J5-K5</f>
        <v>30100</v>
      </c>
    </row>
    <row r="6" ht="16.5" customHeight="1">
      <c r="A6" s="50"/>
      <c r="B6" s="53" t="s">
        <v>43</v>
      </c>
      <c r="C6" s="55" t="s">
        <v>27</v>
      </c>
      <c r="D6" s="57">
        <v>1.35E8</v>
      </c>
      <c r="E6" s="57">
        <v>0.0</v>
      </c>
      <c r="F6" s="57">
        <f t="shared" ref="F6:F116" si="2">F5+D6-E6</f>
        <v>206140000</v>
      </c>
      <c r="H6" s="59" t="s">
        <v>50</v>
      </c>
      <c r="I6" s="61"/>
      <c r="J6" s="62">
        <v>0.0</v>
      </c>
      <c r="K6" s="62">
        <v>30100.0</v>
      </c>
      <c r="L6" s="62">
        <f t="shared" si="1"/>
        <v>0</v>
      </c>
    </row>
    <row r="7" ht="16.5" hidden="1" customHeight="1">
      <c r="A7" s="63"/>
      <c r="B7" s="59" t="s">
        <v>57</v>
      </c>
      <c r="C7" s="61" t="s">
        <v>58</v>
      </c>
      <c r="D7" s="33">
        <v>0.0</v>
      </c>
      <c r="E7" s="33">
        <v>5.0E7</v>
      </c>
      <c r="F7" s="33">
        <f t="shared" si="2"/>
        <v>156140000</v>
      </c>
      <c r="H7" s="65" t="s">
        <v>19</v>
      </c>
      <c r="I7" s="61"/>
      <c r="J7" s="67">
        <v>90000.0</v>
      </c>
      <c r="K7" s="67">
        <v>0.0</v>
      </c>
      <c r="L7" s="62">
        <f t="shared" si="1"/>
        <v>90000</v>
      </c>
    </row>
    <row r="8" ht="16.5" customHeight="1">
      <c r="A8" s="50"/>
      <c r="B8" s="53" t="s">
        <v>64</v>
      </c>
      <c r="C8" s="55" t="s">
        <v>27</v>
      </c>
      <c r="D8" s="57">
        <v>4.87467E8</v>
      </c>
      <c r="E8" s="57">
        <v>0.0</v>
      </c>
      <c r="F8" s="57">
        <f t="shared" si="2"/>
        <v>643607000</v>
      </c>
      <c r="H8" s="65" t="s">
        <v>65</v>
      </c>
      <c r="I8" s="61"/>
      <c r="J8" s="62"/>
      <c r="K8" s="67">
        <v>90000.0</v>
      </c>
      <c r="L8" s="62">
        <f t="shared" si="1"/>
        <v>0</v>
      </c>
    </row>
    <row r="9" ht="16.5" hidden="1" customHeight="1">
      <c r="A9" s="63"/>
      <c r="B9" s="59" t="s">
        <v>69</v>
      </c>
      <c r="C9" s="61" t="s">
        <v>58</v>
      </c>
      <c r="D9" s="70">
        <v>0.0</v>
      </c>
      <c r="E9" s="71">
        <v>5.408E7</v>
      </c>
      <c r="F9" s="33">
        <f t="shared" si="2"/>
        <v>589527000</v>
      </c>
      <c r="H9" s="59"/>
      <c r="I9" s="61"/>
      <c r="J9" s="72"/>
      <c r="K9" s="73"/>
      <c r="L9" s="62">
        <f t="shared" si="1"/>
        <v>0</v>
      </c>
    </row>
    <row r="10" ht="16.5" hidden="1" customHeight="1">
      <c r="A10" s="63"/>
      <c r="B10" s="59" t="s">
        <v>76</v>
      </c>
      <c r="C10" s="61" t="s">
        <v>58</v>
      </c>
      <c r="D10" s="70">
        <v>0.0</v>
      </c>
      <c r="E10" s="71">
        <v>2.80396E7</v>
      </c>
      <c r="F10" s="33">
        <f t="shared" si="2"/>
        <v>561487400</v>
      </c>
      <c r="G10" s="74"/>
      <c r="H10" s="59"/>
      <c r="I10" s="61"/>
      <c r="J10" s="72"/>
      <c r="K10" s="73"/>
      <c r="L10" s="62">
        <f t="shared" si="1"/>
        <v>0</v>
      </c>
    </row>
    <row r="11" ht="16.5" hidden="1" customHeight="1">
      <c r="A11" s="63"/>
      <c r="B11" s="59" t="s">
        <v>80</v>
      </c>
      <c r="C11" s="61" t="s">
        <v>58</v>
      </c>
      <c r="D11" s="70">
        <v>0.0</v>
      </c>
      <c r="E11" s="71">
        <v>4.045395E7</v>
      </c>
      <c r="F11" s="33">
        <f t="shared" si="2"/>
        <v>521033450</v>
      </c>
      <c r="G11" s="75"/>
      <c r="H11" s="59"/>
      <c r="I11" s="61"/>
      <c r="J11" s="72"/>
      <c r="K11" s="73"/>
      <c r="L11" s="62">
        <f t="shared" si="1"/>
        <v>0</v>
      </c>
    </row>
    <row r="12" ht="16.5" hidden="1" customHeight="1">
      <c r="A12" s="63"/>
      <c r="B12" s="59" t="s">
        <v>83</v>
      </c>
      <c r="C12" s="61" t="s">
        <v>58</v>
      </c>
      <c r="D12" s="33">
        <v>0.0</v>
      </c>
      <c r="E12" s="33">
        <v>5.0E7</v>
      </c>
      <c r="F12" s="33">
        <f t="shared" si="2"/>
        <v>471033450</v>
      </c>
      <c r="G12" s="75"/>
      <c r="H12" s="59"/>
      <c r="I12" s="61"/>
      <c r="J12" s="62"/>
      <c r="K12" s="62"/>
      <c r="L12" s="62">
        <f t="shared" si="1"/>
        <v>0</v>
      </c>
    </row>
    <row r="13" ht="16.5" hidden="1" customHeight="1">
      <c r="A13" s="63"/>
      <c r="B13" s="59" t="s">
        <v>86</v>
      </c>
      <c r="C13" s="61" t="s">
        <v>58</v>
      </c>
      <c r="D13" s="70">
        <v>0.0</v>
      </c>
      <c r="E13" s="71">
        <v>9743000.0</v>
      </c>
      <c r="F13" s="33">
        <f t="shared" si="2"/>
        <v>461290450</v>
      </c>
      <c r="G13" s="75"/>
      <c r="H13" s="59"/>
      <c r="I13" s="61"/>
      <c r="J13" s="72"/>
      <c r="K13" s="73"/>
      <c r="L13" s="62">
        <f t="shared" si="1"/>
        <v>0</v>
      </c>
    </row>
    <row r="14" ht="16.5" hidden="1" customHeight="1">
      <c r="A14" s="63"/>
      <c r="B14" s="59" t="s">
        <v>91</v>
      </c>
      <c r="C14" s="61" t="s">
        <v>58</v>
      </c>
      <c r="D14" s="70">
        <v>0.0</v>
      </c>
      <c r="E14" s="71">
        <v>400000.0</v>
      </c>
      <c r="F14" s="33">
        <f t="shared" si="2"/>
        <v>460890450</v>
      </c>
      <c r="G14" s="75"/>
      <c r="H14" s="59"/>
      <c r="I14" s="61"/>
      <c r="J14" s="72"/>
      <c r="K14" s="73"/>
      <c r="L14" s="62">
        <f t="shared" si="1"/>
        <v>0</v>
      </c>
    </row>
    <row r="15" ht="16.5" hidden="1" customHeight="1">
      <c r="A15" s="63"/>
      <c r="B15" s="59" t="s">
        <v>92</v>
      </c>
      <c r="C15" s="61" t="s">
        <v>58</v>
      </c>
      <c r="D15" s="33">
        <v>0.0</v>
      </c>
      <c r="E15" s="33">
        <v>2.6E7</v>
      </c>
      <c r="F15" s="33">
        <f t="shared" si="2"/>
        <v>434890450</v>
      </c>
      <c r="H15" s="59"/>
      <c r="I15" s="61"/>
      <c r="J15" s="62"/>
      <c r="K15" s="62"/>
      <c r="L15" s="62">
        <f t="shared" si="1"/>
        <v>0</v>
      </c>
    </row>
    <row r="16" ht="16.5" hidden="1" customHeight="1">
      <c r="A16" s="63"/>
      <c r="B16" s="59" t="s">
        <v>94</v>
      </c>
      <c r="C16" s="61" t="s">
        <v>58</v>
      </c>
      <c r="D16" s="33">
        <v>0.0</v>
      </c>
      <c r="E16" s="33">
        <v>8145000.0</v>
      </c>
      <c r="F16" s="33">
        <f t="shared" si="2"/>
        <v>426745450</v>
      </c>
      <c r="H16" s="59"/>
      <c r="I16" s="61"/>
      <c r="J16" s="62"/>
      <c r="K16" s="62"/>
      <c r="L16" s="62">
        <f t="shared" si="1"/>
        <v>0</v>
      </c>
    </row>
    <row r="17" ht="16.5" hidden="1" customHeight="1">
      <c r="A17" s="63"/>
      <c r="B17" s="59" t="s">
        <v>96</v>
      </c>
      <c r="C17" s="61" t="s">
        <v>58</v>
      </c>
      <c r="D17" s="33">
        <v>0.0</v>
      </c>
      <c r="E17" s="33">
        <v>3849300.0</v>
      </c>
      <c r="F17" s="33">
        <f t="shared" si="2"/>
        <v>422896150</v>
      </c>
      <c r="H17" s="59"/>
      <c r="I17" s="61"/>
      <c r="J17" s="82"/>
      <c r="K17" s="82"/>
      <c r="L17" s="62">
        <f t="shared" si="1"/>
        <v>0</v>
      </c>
    </row>
    <row r="18" ht="16.5" customHeight="1">
      <c r="A18" s="40">
        <v>45453.0</v>
      </c>
      <c r="B18" s="42" t="s">
        <v>101</v>
      </c>
      <c r="C18" s="44" t="s">
        <v>27</v>
      </c>
      <c r="D18" s="45">
        <v>0.0</v>
      </c>
      <c r="E18" s="45">
        <v>2.109E8</v>
      </c>
      <c r="F18" s="45">
        <f t="shared" si="2"/>
        <v>211996150</v>
      </c>
      <c r="H18" s="59"/>
      <c r="I18" s="61"/>
      <c r="J18" s="82"/>
      <c r="K18" s="82"/>
      <c r="L18" s="62">
        <f t="shared" si="1"/>
        <v>0</v>
      </c>
    </row>
    <row r="19" ht="16.5" hidden="1" customHeight="1">
      <c r="A19" s="63"/>
      <c r="B19" s="59" t="s">
        <v>105</v>
      </c>
      <c r="C19" s="61" t="s">
        <v>58</v>
      </c>
      <c r="D19" s="33">
        <v>0.0</v>
      </c>
      <c r="E19" s="31">
        <v>6.66E7</v>
      </c>
      <c r="F19" s="33">
        <f t="shared" si="2"/>
        <v>145396150</v>
      </c>
      <c r="H19" s="59"/>
      <c r="I19" s="61"/>
      <c r="J19" s="82"/>
      <c r="K19" s="82"/>
      <c r="L19" s="62">
        <f t="shared" si="1"/>
        <v>0</v>
      </c>
    </row>
    <row r="20" ht="16.5" hidden="1" customHeight="1">
      <c r="A20" s="63"/>
      <c r="B20" s="59" t="s">
        <v>107</v>
      </c>
      <c r="C20" s="61" t="s">
        <v>58</v>
      </c>
      <c r="D20" s="33">
        <v>0.0</v>
      </c>
      <c r="E20" s="33">
        <v>1.0E7</v>
      </c>
      <c r="F20" s="33">
        <f t="shared" si="2"/>
        <v>135396150</v>
      </c>
      <c r="H20" s="59"/>
      <c r="I20" s="61"/>
      <c r="J20" s="82"/>
      <c r="K20" s="82"/>
      <c r="L20" s="62">
        <f t="shared" si="1"/>
        <v>0</v>
      </c>
    </row>
    <row r="21" ht="16.5" hidden="1" customHeight="1">
      <c r="A21" s="63"/>
      <c r="B21" s="59" t="s">
        <v>109</v>
      </c>
      <c r="C21" s="61" t="s">
        <v>58</v>
      </c>
      <c r="D21" s="33">
        <v>0.0</v>
      </c>
      <c r="E21" s="33">
        <v>2174000.0</v>
      </c>
      <c r="F21" s="33">
        <f t="shared" si="2"/>
        <v>133222150</v>
      </c>
      <c r="H21" s="59"/>
      <c r="I21" s="61"/>
      <c r="J21" s="82"/>
      <c r="K21" s="82"/>
      <c r="L21" s="62">
        <f t="shared" si="1"/>
        <v>0</v>
      </c>
    </row>
    <row r="22" ht="16.5" hidden="1" customHeight="1">
      <c r="A22" s="63"/>
      <c r="B22" s="59" t="s">
        <v>114</v>
      </c>
      <c r="C22" s="61" t="s">
        <v>58</v>
      </c>
      <c r="D22" s="33"/>
      <c r="E22" s="33">
        <v>600000.0</v>
      </c>
      <c r="F22" s="33">
        <f t="shared" si="2"/>
        <v>132622150</v>
      </c>
      <c r="H22" s="59"/>
      <c r="I22" s="61"/>
      <c r="J22" s="82"/>
      <c r="K22" s="82"/>
      <c r="L22" s="62">
        <f t="shared" si="1"/>
        <v>0</v>
      </c>
    </row>
    <row r="23" ht="16.5" hidden="1" customHeight="1">
      <c r="A23" s="63"/>
      <c r="B23" s="59" t="s">
        <v>96</v>
      </c>
      <c r="C23" s="61" t="s">
        <v>58</v>
      </c>
      <c r="D23" s="33">
        <v>0.0</v>
      </c>
      <c r="E23" s="33">
        <v>4503100.0</v>
      </c>
      <c r="F23" s="33">
        <f t="shared" si="2"/>
        <v>128119050</v>
      </c>
      <c r="H23" s="59"/>
      <c r="I23" s="61"/>
      <c r="J23" s="82"/>
      <c r="K23" s="82"/>
      <c r="L23" s="62">
        <f t="shared" si="1"/>
        <v>0</v>
      </c>
    </row>
    <row r="24" ht="16.5" hidden="1" customHeight="1">
      <c r="A24" s="63"/>
      <c r="B24" s="59" t="s">
        <v>117</v>
      </c>
      <c r="C24" s="61" t="s">
        <v>58</v>
      </c>
      <c r="D24" s="33">
        <v>0.0</v>
      </c>
      <c r="E24" s="33">
        <v>4400000.0</v>
      </c>
      <c r="F24" s="33">
        <f t="shared" si="2"/>
        <v>123719050</v>
      </c>
      <c r="H24" s="59"/>
      <c r="I24" s="61"/>
      <c r="J24" s="82"/>
      <c r="K24" s="82"/>
      <c r="L24" s="62">
        <f t="shared" si="1"/>
        <v>0</v>
      </c>
    </row>
    <row r="25" ht="16.5" hidden="1" customHeight="1">
      <c r="A25" s="63"/>
      <c r="B25" s="59" t="s">
        <v>114</v>
      </c>
      <c r="C25" s="61" t="s">
        <v>58</v>
      </c>
      <c r="D25" s="33"/>
      <c r="E25" s="33">
        <v>400000.0</v>
      </c>
      <c r="F25" s="33">
        <f t="shared" si="2"/>
        <v>123319050</v>
      </c>
      <c r="H25" s="59"/>
      <c r="I25" s="61"/>
      <c r="J25" s="82"/>
      <c r="K25" s="82"/>
      <c r="L25" s="62">
        <f t="shared" si="1"/>
        <v>0</v>
      </c>
    </row>
    <row r="26" ht="16.5" hidden="1" customHeight="1">
      <c r="A26" s="63"/>
      <c r="B26" s="59" t="s">
        <v>122</v>
      </c>
      <c r="C26" s="61" t="s">
        <v>58</v>
      </c>
      <c r="D26" s="33">
        <v>0.0</v>
      </c>
      <c r="E26" s="33">
        <v>4426000.0</v>
      </c>
      <c r="F26" s="33">
        <f t="shared" si="2"/>
        <v>118893050</v>
      </c>
      <c r="H26" s="59"/>
      <c r="I26" s="61"/>
      <c r="J26" s="82"/>
      <c r="K26" s="82"/>
      <c r="L26" s="62">
        <f t="shared" si="1"/>
        <v>0</v>
      </c>
    </row>
    <row r="27" ht="16.5" hidden="1" customHeight="1">
      <c r="A27" s="63"/>
      <c r="B27" s="59" t="s">
        <v>125</v>
      </c>
      <c r="C27" s="61" t="s">
        <v>58</v>
      </c>
      <c r="D27" s="33">
        <v>0.0</v>
      </c>
      <c r="E27" s="33">
        <v>3336500.0</v>
      </c>
      <c r="F27" s="33">
        <f t="shared" si="2"/>
        <v>115556550</v>
      </c>
      <c r="H27" s="59"/>
      <c r="I27" s="61"/>
      <c r="J27" s="82"/>
      <c r="K27" s="82"/>
      <c r="L27" s="62">
        <f t="shared" ref="L27:L54" si="3">L26-K27</f>
        <v>0</v>
      </c>
    </row>
    <row r="28" ht="16.5" hidden="1" customHeight="1">
      <c r="A28" s="63"/>
      <c r="B28" s="59" t="s">
        <v>129</v>
      </c>
      <c r="C28" s="61" t="s">
        <v>58</v>
      </c>
      <c r="D28" s="33">
        <v>0.0</v>
      </c>
      <c r="E28" s="33">
        <v>2067400.0</v>
      </c>
      <c r="F28" s="33">
        <f t="shared" si="2"/>
        <v>113489150</v>
      </c>
      <c r="H28" s="59"/>
      <c r="I28" s="61"/>
      <c r="J28" s="82"/>
      <c r="K28" s="82"/>
      <c r="L28" s="62">
        <f t="shared" si="3"/>
        <v>0</v>
      </c>
    </row>
    <row r="29" ht="16.5" hidden="1" customHeight="1">
      <c r="A29" s="63"/>
      <c r="B29" s="85" t="s">
        <v>132</v>
      </c>
      <c r="C29" s="86" t="s">
        <v>58</v>
      </c>
      <c r="D29" s="88">
        <v>0.0</v>
      </c>
      <c r="E29" s="88">
        <f>801400+120000</f>
        <v>921400</v>
      </c>
      <c r="F29" s="33">
        <f t="shared" si="2"/>
        <v>112567750</v>
      </c>
      <c r="H29" s="85"/>
      <c r="I29" s="86"/>
      <c r="J29" s="89"/>
      <c r="K29" s="89"/>
      <c r="L29" s="62">
        <f t="shared" si="3"/>
        <v>0</v>
      </c>
    </row>
    <row r="30" ht="16.5" hidden="1" customHeight="1">
      <c r="A30" s="63"/>
      <c r="B30" s="85" t="s">
        <v>139</v>
      </c>
      <c r="C30" s="86" t="s">
        <v>58</v>
      </c>
      <c r="D30" s="88">
        <v>0.0</v>
      </c>
      <c r="E30" s="88">
        <v>2.5E7</v>
      </c>
      <c r="F30" s="33">
        <f t="shared" si="2"/>
        <v>87567750</v>
      </c>
      <c r="H30" s="85"/>
      <c r="I30" s="86"/>
      <c r="J30" s="89"/>
      <c r="K30" s="89"/>
      <c r="L30" s="62">
        <f t="shared" si="3"/>
        <v>0</v>
      </c>
    </row>
    <row r="31" ht="16.5" hidden="1" customHeight="1">
      <c r="A31" s="63"/>
      <c r="B31" s="85" t="s">
        <v>141</v>
      </c>
      <c r="C31" s="86" t="s">
        <v>58</v>
      </c>
      <c r="D31" s="88">
        <v>0.0</v>
      </c>
      <c r="E31" s="88">
        <v>405200.0</v>
      </c>
      <c r="F31" s="88">
        <f t="shared" si="2"/>
        <v>87162550</v>
      </c>
      <c r="H31" s="85"/>
      <c r="I31" s="86"/>
      <c r="J31" s="89"/>
      <c r="K31" s="89"/>
      <c r="L31" s="62">
        <f t="shared" si="3"/>
        <v>0</v>
      </c>
    </row>
    <row r="32" ht="16.5" hidden="1" customHeight="1">
      <c r="A32" s="50"/>
      <c r="B32" s="93" t="s">
        <v>143</v>
      </c>
      <c r="C32" s="94"/>
      <c r="D32" s="95">
        <v>2.8E8</v>
      </c>
      <c r="E32" s="96">
        <v>0.0</v>
      </c>
      <c r="F32" s="95">
        <f t="shared" si="2"/>
        <v>367162550</v>
      </c>
      <c r="H32" s="85"/>
      <c r="I32" s="86"/>
      <c r="J32" s="89"/>
      <c r="K32" s="89"/>
      <c r="L32" s="62">
        <f t="shared" si="3"/>
        <v>0</v>
      </c>
    </row>
    <row r="33" ht="16.5" hidden="1" customHeight="1">
      <c r="A33" s="50"/>
      <c r="B33" s="93" t="s">
        <v>147</v>
      </c>
      <c r="C33" s="94"/>
      <c r="D33" s="95">
        <v>3.25365E8</v>
      </c>
      <c r="E33" s="96">
        <v>0.0</v>
      </c>
      <c r="F33" s="95">
        <f t="shared" si="2"/>
        <v>692527550</v>
      </c>
      <c r="H33" s="85"/>
      <c r="I33" s="86"/>
      <c r="J33" s="89"/>
      <c r="K33" s="89"/>
      <c r="L33" s="62">
        <f t="shared" si="3"/>
        <v>0</v>
      </c>
    </row>
    <row r="34" ht="16.5" customHeight="1">
      <c r="A34" s="98">
        <v>45475.0</v>
      </c>
      <c r="B34" s="101" t="s">
        <v>149</v>
      </c>
      <c r="C34" s="103" t="s">
        <v>27</v>
      </c>
      <c r="D34" s="107">
        <v>0.0</v>
      </c>
      <c r="E34" s="109">
        <v>2.2278144E8</v>
      </c>
      <c r="F34" s="107">
        <f t="shared" si="2"/>
        <v>469746110</v>
      </c>
      <c r="H34" s="85"/>
      <c r="I34" s="86"/>
      <c r="J34" s="89"/>
      <c r="K34" s="89"/>
      <c r="L34" s="62">
        <f t="shared" si="3"/>
        <v>0</v>
      </c>
    </row>
    <row r="35" ht="16.5" hidden="1" customHeight="1">
      <c r="A35" s="63"/>
      <c r="B35" s="85" t="s">
        <v>152</v>
      </c>
      <c r="C35" s="115" t="s">
        <v>58</v>
      </c>
      <c r="D35" s="88">
        <v>0.0</v>
      </c>
      <c r="E35" s="116">
        <v>3668000.0</v>
      </c>
      <c r="F35" s="118">
        <f t="shared" si="2"/>
        <v>466078110</v>
      </c>
      <c r="H35" s="85"/>
      <c r="I35" s="86"/>
      <c r="J35" s="89"/>
      <c r="K35" s="89"/>
      <c r="L35" s="62">
        <f t="shared" si="3"/>
        <v>0</v>
      </c>
    </row>
    <row r="36" ht="16.5" hidden="1" customHeight="1">
      <c r="A36" s="63"/>
      <c r="B36" s="85" t="s">
        <v>156</v>
      </c>
      <c r="C36" s="115" t="s">
        <v>58</v>
      </c>
      <c r="D36" s="88">
        <v>0.0</v>
      </c>
      <c r="E36" s="116">
        <v>8.737E7</v>
      </c>
      <c r="F36" s="118">
        <f t="shared" si="2"/>
        <v>378708110</v>
      </c>
      <c r="H36" s="85"/>
      <c r="I36" s="86"/>
      <c r="J36" s="89"/>
      <c r="K36" s="89"/>
      <c r="L36" s="62">
        <f t="shared" si="3"/>
        <v>0</v>
      </c>
    </row>
    <row r="37" ht="16.5" hidden="1" customHeight="1">
      <c r="A37" s="63"/>
      <c r="B37" s="85" t="s">
        <v>159</v>
      </c>
      <c r="C37" s="86" t="s">
        <v>58</v>
      </c>
      <c r="D37" s="88">
        <v>0.0</v>
      </c>
      <c r="E37" s="116">
        <v>6.15E7</v>
      </c>
      <c r="F37" s="118">
        <f t="shared" si="2"/>
        <v>317208110</v>
      </c>
      <c r="H37" s="85"/>
      <c r="I37" s="86"/>
      <c r="J37" s="89"/>
      <c r="K37" s="89"/>
      <c r="L37" s="62">
        <f t="shared" si="3"/>
        <v>0</v>
      </c>
    </row>
    <row r="38" ht="16.5" hidden="1" customHeight="1">
      <c r="A38" s="63"/>
      <c r="B38" s="85" t="s">
        <v>96</v>
      </c>
      <c r="C38" s="86" t="s">
        <v>58</v>
      </c>
      <c r="D38" s="88">
        <v>0.0</v>
      </c>
      <c r="E38" s="116">
        <v>1262432.0</v>
      </c>
      <c r="F38" s="118">
        <f t="shared" si="2"/>
        <v>315945678</v>
      </c>
      <c r="H38" s="85"/>
      <c r="I38" s="86"/>
      <c r="J38" s="89"/>
      <c r="K38" s="89"/>
      <c r="L38" s="62">
        <f t="shared" si="3"/>
        <v>0</v>
      </c>
    </row>
    <row r="39" ht="16.5" hidden="1" customHeight="1">
      <c r="A39" s="63"/>
      <c r="B39" s="85" t="s">
        <v>163</v>
      </c>
      <c r="C39" s="86" t="s">
        <v>58</v>
      </c>
      <c r="D39" s="88">
        <v>0.0</v>
      </c>
      <c r="E39" s="116">
        <v>2.3265E7</v>
      </c>
      <c r="F39" s="118">
        <f t="shared" si="2"/>
        <v>292680678</v>
      </c>
      <c r="H39" s="85"/>
      <c r="I39" s="86"/>
      <c r="J39" s="89"/>
      <c r="K39" s="89"/>
      <c r="L39" s="62">
        <f t="shared" si="3"/>
        <v>0</v>
      </c>
    </row>
    <row r="40" ht="16.5" hidden="1" customHeight="1">
      <c r="A40" s="63"/>
      <c r="B40" s="85" t="s">
        <v>166</v>
      </c>
      <c r="C40" s="86" t="s">
        <v>58</v>
      </c>
      <c r="D40" s="88">
        <v>0.0</v>
      </c>
      <c r="E40" s="116">
        <v>2002000.0</v>
      </c>
      <c r="F40" s="118">
        <f t="shared" si="2"/>
        <v>290678678</v>
      </c>
      <c r="H40" s="85"/>
      <c r="I40" s="86"/>
      <c r="J40" s="89"/>
      <c r="K40" s="89"/>
      <c r="L40" s="62">
        <f t="shared" si="3"/>
        <v>0</v>
      </c>
    </row>
    <row r="41" ht="16.5" hidden="1" customHeight="1">
      <c r="A41" s="63"/>
      <c r="B41" s="85" t="s">
        <v>169</v>
      </c>
      <c r="C41" s="86" t="s">
        <v>58</v>
      </c>
      <c r="D41" s="88">
        <v>0.0</v>
      </c>
      <c r="E41" s="116">
        <v>703250.0</v>
      </c>
      <c r="F41" s="118">
        <f t="shared" si="2"/>
        <v>289975428</v>
      </c>
      <c r="H41" s="85"/>
      <c r="I41" s="86"/>
      <c r="J41" s="89"/>
      <c r="K41" s="89"/>
      <c r="L41" s="62">
        <f t="shared" si="3"/>
        <v>0</v>
      </c>
    </row>
    <row r="42" ht="16.5" hidden="1" customHeight="1">
      <c r="A42" s="123"/>
      <c r="B42" s="125" t="s">
        <v>176</v>
      </c>
      <c r="C42" s="127" t="s">
        <v>177</v>
      </c>
      <c r="D42" s="128">
        <v>0.0</v>
      </c>
      <c r="E42" s="129">
        <v>3.475E7</v>
      </c>
      <c r="F42" s="130">
        <f t="shared" si="2"/>
        <v>255225428</v>
      </c>
      <c r="H42" s="85"/>
      <c r="I42" s="86"/>
      <c r="J42" s="89"/>
      <c r="K42" s="89"/>
      <c r="L42" s="62">
        <f t="shared" si="3"/>
        <v>0</v>
      </c>
    </row>
    <row r="43" ht="16.5" hidden="1" customHeight="1">
      <c r="A43" s="50"/>
      <c r="B43" s="53" t="s">
        <v>143</v>
      </c>
      <c r="C43" s="55"/>
      <c r="D43" s="57">
        <v>7.5E8</v>
      </c>
      <c r="E43" s="57">
        <v>0.0</v>
      </c>
      <c r="F43" s="131">
        <f t="shared" si="2"/>
        <v>1005225428</v>
      </c>
      <c r="H43" s="85"/>
      <c r="I43" s="86"/>
      <c r="J43" s="89"/>
      <c r="K43" s="89"/>
      <c r="L43" s="62">
        <f t="shared" si="3"/>
        <v>0</v>
      </c>
    </row>
    <row r="44" ht="16.5" hidden="1" customHeight="1">
      <c r="A44" s="63"/>
      <c r="B44" s="59" t="s">
        <v>183</v>
      </c>
      <c r="C44" s="61" t="s">
        <v>58</v>
      </c>
      <c r="D44" s="33">
        <v>0.0</v>
      </c>
      <c r="E44" s="33">
        <v>3940500.0</v>
      </c>
      <c r="F44" s="133">
        <f t="shared" si="2"/>
        <v>1001284928</v>
      </c>
      <c r="H44" s="85"/>
      <c r="I44" s="86"/>
      <c r="J44" s="89"/>
      <c r="K44" s="89"/>
      <c r="L44" s="62">
        <f t="shared" si="3"/>
        <v>0</v>
      </c>
    </row>
    <row r="45" ht="16.5" hidden="1" customHeight="1">
      <c r="A45" s="63"/>
      <c r="B45" s="59" t="s">
        <v>184</v>
      </c>
      <c r="C45" s="61" t="s">
        <v>58</v>
      </c>
      <c r="D45" s="33">
        <v>0.0</v>
      </c>
      <c r="E45" s="33">
        <v>6.205E7</v>
      </c>
      <c r="F45" s="133">
        <f t="shared" si="2"/>
        <v>939234928</v>
      </c>
      <c r="H45" s="85"/>
      <c r="I45" s="86"/>
      <c r="J45" s="89"/>
      <c r="K45" s="89"/>
      <c r="L45" s="62">
        <f t="shared" si="3"/>
        <v>0</v>
      </c>
    </row>
    <row r="46" ht="16.5" hidden="1" customHeight="1">
      <c r="A46" s="63"/>
      <c r="B46" s="59" t="s">
        <v>187</v>
      </c>
      <c r="C46" s="61" t="s">
        <v>58</v>
      </c>
      <c r="D46" s="33">
        <v>0.0</v>
      </c>
      <c r="E46" s="33">
        <v>9050000.0</v>
      </c>
      <c r="F46" s="133">
        <f t="shared" si="2"/>
        <v>930184928</v>
      </c>
      <c r="H46" s="85"/>
      <c r="I46" s="86"/>
      <c r="J46" s="89"/>
      <c r="K46" s="89"/>
      <c r="L46" s="62">
        <f t="shared" si="3"/>
        <v>0</v>
      </c>
    </row>
    <row r="47" ht="16.5" hidden="1" customHeight="1">
      <c r="A47" s="63"/>
      <c r="B47" s="59" t="s">
        <v>193</v>
      </c>
      <c r="C47" s="61" t="s">
        <v>58</v>
      </c>
      <c r="D47" s="33">
        <v>0.0</v>
      </c>
      <c r="E47" s="33">
        <v>3430000.0</v>
      </c>
      <c r="F47" s="133">
        <f t="shared" si="2"/>
        <v>926754928</v>
      </c>
      <c r="H47" s="85"/>
      <c r="I47" s="86"/>
      <c r="J47" s="89"/>
      <c r="K47" s="89"/>
      <c r="L47" s="62">
        <f t="shared" si="3"/>
        <v>0</v>
      </c>
    </row>
    <row r="48" ht="16.5" hidden="1" customHeight="1">
      <c r="A48" s="63"/>
      <c r="B48" s="59" t="s">
        <v>195</v>
      </c>
      <c r="C48" s="61" t="s">
        <v>58</v>
      </c>
      <c r="D48" s="33">
        <v>0.0</v>
      </c>
      <c r="E48" s="33">
        <v>1161150.0</v>
      </c>
      <c r="F48" s="133">
        <f t="shared" si="2"/>
        <v>925593778</v>
      </c>
      <c r="H48" s="85"/>
      <c r="I48" s="86"/>
      <c r="J48" s="89"/>
      <c r="K48" s="89"/>
      <c r="L48" s="62">
        <f t="shared" si="3"/>
        <v>0</v>
      </c>
    </row>
    <row r="49" ht="16.5" hidden="1" customHeight="1">
      <c r="A49" s="63"/>
      <c r="B49" s="59" t="s">
        <v>196</v>
      </c>
      <c r="C49" s="61" t="s">
        <v>58</v>
      </c>
      <c r="D49" s="33">
        <v>0.0</v>
      </c>
      <c r="E49" s="33">
        <v>1324926.0</v>
      </c>
      <c r="F49" s="133">
        <f t="shared" si="2"/>
        <v>924268852</v>
      </c>
      <c r="H49" s="85"/>
      <c r="I49" s="86"/>
      <c r="J49" s="89"/>
      <c r="K49" s="89"/>
      <c r="L49" s="62">
        <f t="shared" si="3"/>
        <v>0</v>
      </c>
    </row>
    <row r="50" ht="16.5" hidden="1" customHeight="1">
      <c r="A50" s="63"/>
      <c r="B50" s="59" t="s">
        <v>199</v>
      </c>
      <c r="C50" s="61" t="s">
        <v>58</v>
      </c>
      <c r="D50" s="33">
        <v>0.0</v>
      </c>
      <c r="E50" s="33">
        <v>3668000.0</v>
      </c>
      <c r="F50" s="133">
        <f t="shared" si="2"/>
        <v>920600852</v>
      </c>
      <c r="H50" s="85"/>
      <c r="I50" s="86"/>
      <c r="J50" s="89"/>
      <c r="K50" s="89"/>
      <c r="L50" s="62">
        <f t="shared" si="3"/>
        <v>0</v>
      </c>
    </row>
    <row r="51" ht="16.5" hidden="1" customHeight="1">
      <c r="A51" s="63"/>
      <c r="B51" s="59" t="s">
        <v>201</v>
      </c>
      <c r="C51" s="61" t="s">
        <v>58</v>
      </c>
      <c r="D51" s="33">
        <v>0.0</v>
      </c>
      <c r="E51" s="33">
        <v>2.9525E7</v>
      </c>
      <c r="F51" s="133">
        <f t="shared" si="2"/>
        <v>891075852</v>
      </c>
      <c r="H51" s="85"/>
      <c r="I51" s="86"/>
      <c r="J51" s="89"/>
      <c r="K51" s="89"/>
      <c r="L51" s="62">
        <f t="shared" si="3"/>
        <v>0</v>
      </c>
    </row>
    <row r="52" ht="16.5" hidden="1" customHeight="1">
      <c r="A52" s="63"/>
      <c r="B52" s="59" t="s">
        <v>202</v>
      </c>
      <c r="C52" s="61" t="s">
        <v>58</v>
      </c>
      <c r="D52" s="33">
        <v>0.0</v>
      </c>
      <c r="E52" s="33">
        <v>1582000.0</v>
      </c>
      <c r="F52" s="133">
        <f t="shared" si="2"/>
        <v>889493852</v>
      </c>
      <c r="H52" s="85"/>
      <c r="I52" s="86"/>
      <c r="J52" s="89"/>
      <c r="K52" s="89"/>
      <c r="L52" s="62">
        <f t="shared" si="3"/>
        <v>0</v>
      </c>
    </row>
    <row r="53" ht="16.5" customHeight="1">
      <c r="A53" s="40">
        <v>45503.0</v>
      </c>
      <c r="B53" s="42" t="s">
        <v>205</v>
      </c>
      <c r="C53" s="44" t="s">
        <v>27</v>
      </c>
      <c r="D53" s="45">
        <v>0.0</v>
      </c>
      <c r="E53" s="45">
        <v>3.25557023E8</v>
      </c>
      <c r="F53" s="137">
        <f t="shared" si="2"/>
        <v>563936829</v>
      </c>
      <c r="H53" s="85"/>
      <c r="I53" s="86"/>
      <c r="J53" s="89"/>
      <c r="K53" s="89"/>
      <c r="L53" s="62">
        <f t="shared" si="3"/>
        <v>0</v>
      </c>
    </row>
    <row r="54" ht="16.5" hidden="1" customHeight="1">
      <c r="A54" s="63"/>
      <c r="B54" s="59" t="s">
        <v>207</v>
      </c>
      <c r="C54" s="61" t="s">
        <v>58</v>
      </c>
      <c r="D54" s="33">
        <v>0.0</v>
      </c>
      <c r="E54" s="33">
        <v>7080000.0</v>
      </c>
      <c r="F54" s="133">
        <f t="shared" si="2"/>
        <v>556856829</v>
      </c>
      <c r="H54" s="85"/>
      <c r="I54" s="86"/>
      <c r="J54" s="89"/>
      <c r="K54" s="89"/>
      <c r="L54" s="62">
        <f t="shared" si="3"/>
        <v>0</v>
      </c>
    </row>
    <row r="55" ht="16.5" hidden="1" customHeight="1">
      <c r="A55" s="63"/>
      <c r="B55" s="59" t="s">
        <v>209</v>
      </c>
      <c r="C55" s="61" t="s">
        <v>58</v>
      </c>
      <c r="D55" s="33">
        <v>0.0</v>
      </c>
      <c r="E55" s="33">
        <v>5310000.0</v>
      </c>
      <c r="F55" s="133">
        <f t="shared" si="2"/>
        <v>551546829</v>
      </c>
      <c r="H55" s="85"/>
      <c r="I55" s="86"/>
      <c r="J55" s="89"/>
      <c r="K55" s="89"/>
      <c r="L55" s="62"/>
    </row>
    <row r="56" ht="16.5" hidden="1" customHeight="1">
      <c r="A56" s="63"/>
      <c r="B56" s="59" t="s">
        <v>202</v>
      </c>
      <c r="C56" s="61" t="s">
        <v>58</v>
      </c>
      <c r="D56" s="33">
        <v>0.0</v>
      </c>
      <c r="E56" s="33">
        <v>688100.0</v>
      </c>
      <c r="F56" s="133">
        <f t="shared" si="2"/>
        <v>550858729</v>
      </c>
      <c r="H56" s="85"/>
      <c r="I56" s="86"/>
      <c r="J56" s="89"/>
      <c r="K56" s="89"/>
      <c r="L56" s="62"/>
    </row>
    <row r="57" ht="16.5" customHeight="1">
      <c r="A57" s="40">
        <v>45523.0</v>
      </c>
      <c r="B57" s="42" t="s">
        <v>210</v>
      </c>
      <c r="C57" s="44" t="s">
        <v>27</v>
      </c>
      <c r="D57" s="45">
        <v>0.0</v>
      </c>
      <c r="E57" s="45">
        <v>4.04825E8</v>
      </c>
      <c r="F57" s="137">
        <f t="shared" si="2"/>
        <v>146033729</v>
      </c>
      <c r="H57" s="85"/>
      <c r="I57" s="86"/>
      <c r="J57" s="89"/>
      <c r="K57" s="89"/>
      <c r="L57" s="62"/>
    </row>
    <row r="58" ht="16.5" hidden="1" customHeight="1">
      <c r="A58" s="63"/>
      <c r="B58" s="59" t="s">
        <v>212</v>
      </c>
      <c r="C58" s="61" t="s">
        <v>58</v>
      </c>
      <c r="D58" s="33">
        <v>0.0</v>
      </c>
      <c r="E58" s="33">
        <v>5310000.0</v>
      </c>
      <c r="F58" s="133">
        <f t="shared" si="2"/>
        <v>140723729</v>
      </c>
      <c r="H58" s="85"/>
      <c r="I58" s="86"/>
      <c r="J58" s="89"/>
      <c r="K58" s="89"/>
      <c r="L58" s="62"/>
    </row>
    <row r="59" ht="16.5" hidden="1" customHeight="1">
      <c r="A59" s="63"/>
      <c r="B59" s="59" t="s">
        <v>213</v>
      </c>
      <c r="C59" s="61" t="s">
        <v>58</v>
      </c>
      <c r="D59" s="33">
        <v>0.0</v>
      </c>
      <c r="E59" s="33">
        <v>5580000.0</v>
      </c>
      <c r="F59" s="133">
        <f t="shared" si="2"/>
        <v>135143729</v>
      </c>
      <c r="H59" s="85"/>
      <c r="I59" s="86"/>
      <c r="J59" s="89"/>
      <c r="K59" s="89"/>
      <c r="L59" s="62"/>
    </row>
    <row r="60" ht="16.5" hidden="1" customHeight="1">
      <c r="A60" s="63"/>
      <c r="B60" s="59" t="s">
        <v>215</v>
      </c>
      <c r="C60" s="61" t="s">
        <v>58</v>
      </c>
      <c r="D60" s="33">
        <v>0.0</v>
      </c>
      <c r="E60" s="33">
        <v>1.96E7</v>
      </c>
      <c r="F60" s="133">
        <f t="shared" si="2"/>
        <v>115543729</v>
      </c>
      <c r="H60" s="85"/>
      <c r="I60" s="86"/>
      <c r="J60" s="89"/>
      <c r="K60" s="89"/>
      <c r="L60" s="62"/>
    </row>
    <row r="61" ht="16.5" hidden="1" customHeight="1">
      <c r="A61" s="63"/>
      <c r="B61" s="59" t="s">
        <v>217</v>
      </c>
      <c r="C61" s="61" t="s">
        <v>58</v>
      </c>
      <c r="D61" s="33">
        <v>0.0</v>
      </c>
      <c r="E61" s="33">
        <v>1026950.0</v>
      </c>
      <c r="F61" s="133">
        <f t="shared" si="2"/>
        <v>114516779</v>
      </c>
      <c r="H61" s="85"/>
      <c r="I61" s="86"/>
      <c r="J61" s="89"/>
      <c r="K61" s="89"/>
      <c r="L61" s="62"/>
    </row>
    <row r="62" ht="16.5" hidden="1" customHeight="1">
      <c r="A62" s="63"/>
      <c r="B62" s="85" t="s">
        <v>218</v>
      </c>
      <c r="C62" s="61" t="s">
        <v>58</v>
      </c>
      <c r="D62" s="33">
        <v>0.0</v>
      </c>
      <c r="E62" s="33">
        <v>447440.0</v>
      </c>
      <c r="F62" s="133">
        <f t="shared" si="2"/>
        <v>114069339</v>
      </c>
      <c r="H62" s="85"/>
      <c r="I62" s="86"/>
      <c r="J62" s="89"/>
      <c r="K62" s="89"/>
      <c r="L62" s="62"/>
    </row>
    <row r="63" ht="16.5" hidden="1" customHeight="1">
      <c r="A63" s="63"/>
      <c r="B63" s="141" t="s">
        <v>219</v>
      </c>
      <c r="C63" s="142" t="s">
        <v>58</v>
      </c>
      <c r="D63" s="88">
        <v>0.0</v>
      </c>
      <c r="E63" s="88">
        <v>357950.0</v>
      </c>
      <c r="F63" s="133">
        <f t="shared" si="2"/>
        <v>113711389</v>
      </c>
      <c r="H63" s="85"/>
      <c r="I63" s="86"/>
      <c r="J63" s="89"/>
      <c r="K63" s="89"/>
      <c r="L63" s="62"/>
    </row>
    <row r="64" ht="16.5" customHeight="1">
      <c r="A64" s="98">
        <v>45565.0</v>
      </c>
      <c r="B64" s="143" t="s">
        <v>222</v>
      </c>
      <c r="C64" s="144" t="s">
        <v>27</v>
      </c>
      <c r="D64" s="107">
        <v>0.0</v>
      </c>
      <c r="E64" s="107">
        <v>9.48E7</v>
      </c>
      <c r="F64" s="137">
        <f t="shared" si="2"/>
        <v>18911389</v>
      </c>
      <c r="H64" s="85"/>
      <c r="I64" s="86"/>
      <c r="J64" s="89"/>
      <c r="K64" s="89"/>
      <c r="L64" s="145"/>
    </row>
    <row r="65" ht="16.5" hidden="1" customHeight="1">
      <c r="A65" s="63"/>
      <c r="B65" s="141" t="s">
        <v>225</v>
      </c>
      <c r="C65" s="86" t="s">
        <v>58</v>
      </c>
      <c r="D65" s="88">
        <v>0.0</v>
      </c>
      <c r="E65" s="88">
        <v>699500.0</v>
      </c>
      <c r="F65" s="146">
        <f t="shared" si="2"/>
        <v>18211889</v>
      </c>
      <c r="H65" s="85"/>
      <c r="I65" s="86"/>
      <c r="J65" s="89"/>
      <c r="K65" s="89"/>
      <c r="L65" s="145"/>
    </row>
    <row r="66" ht="16.5" hidden="1" customHeight="1">
      <c r="A66" s="63"/>
      <c r="B66" s="147" t="s">
        <v>227</v>
      </c>
      <c r="C66" s="148" t="s">
        <v>58</v>
      </c>
      <c r="D66" s="133">
        <v>0.0</v>
      </c>
      <c r="E66" s="133">
        <v>5066157.0</v>
      </c>
      <c r="F66" s="146">
        <f t="shared" si="2"/>
        <v>13145732</v>
      </c>
      <c r="H66" s="85"/>
      <c r="I66" s="86"/>
      <c r="J66" s="89"/>
      <c r="K66" s="89"/>
      <c r="L66" s="145"/>
    </row>
    <row r="67" ht="16.5" hidden="1" customHeight="1">
      <c r="A67" s="63"/>
      <c r="B67" s="141" t="s">
        <v>230</v>
      </c>
      <c r="C67" s="86" t="s">
        <v>58</v>
      </c>
      <c r="D67" s="88">
        <v>0.0</v>
      </c>
      <c r="E67" s="88">
        <v>1.528E7</v>
      </c>
      <c r="F67" s="146">
        <f t="shared" si="2"/>
        <v>-2134268</v>
      </c>
      <c r="H67" s="85"/>
      <c r="I67" s="86"/>
      <c r="J67" s="89"/>
      <c r="K67" s="89"/>
      <c r="L67" s="145"/>
    </row>
    <row r="68" ht="16.5" hidden="1" customHeight="1">
      <c r="A68" s="123"/>
      <c r="B68" s="149" t="s">
        <v>231</v>
      </c>
      <c r="C68" s="150" t="s">
        <v>177</v>
      </c>
      <c r="D68" s="151">
        <v>0.0</v>
      </c>
      <c r="E68" s="151">
        <v>6.953908E7</v>
      </c>
      <c r="F68" s="130">
        <f t="shared" si="2"/>
        <v>-71673348</v>
      </c>
      <c r="H68" s="85"/>
      <c r="I68" s="86"/>
      <c r="J68" s="89"/>
      <c r="K68" s="89"/>
      <c r="L68" s="145"/>
    </row>
    <row r="69" ht="16.5" hidden="1" customHeight="1">
      <c r="A69" s="123"/>
      <c r="B69" s="152" t="s">
        <v>234</v>
      </c>
      <c r="C69" s="153" t="s">
        <v>177</v>
      </c>
      <c r="D69" s="130">
        <v>0.0</v>
      </c>
      <c r="E69" s="154">
        <v>1.1109588E7</v>
      </c>
      <c r="F69" s="130">
        <f t="shared" si="2"/>
        <v>-82782936</v>
      </c>
      <c r="H69" s="85"/>
      <c r="I69" s="86"/>
      <c r="J69" s="89"/>
      <c r="K69" s="89"/>
      <c r="L69" s="145"/>
    </row>
    <row r="70" ht="16.5" hidden="1" customHeight="1">
      <c r="A70" s="156"/>
      <c r="B70" s="157" t="s">
        <v>236</v>
      </c>
      <c r="C70" s="158"/>
      <c r="D70" s="159">
        <f>11940*100000</f>
        <v>1194000000</v>
      </c>
      <c r="E70" s="159">
        <v>0.0</v>
      </c>
      <c r="F70" s="160">
        <f t="shared" si="2"/>
        <v>1111217064</v>
      </c>
      <c r="H70" s="85"/>
      <c r="I70" s="86"/>
      <c r="J70" s="89"/>
      <c r="K70" s="89"/>
      <c r="L70" s="145"/>
    </row>
    <row r="71" ht="16.5" customHeight="1">
      <c r="A71" s="40">
        <v>45614.0</v>
      </c>
      <c r="B71" s="161" t="s">
        <v>238</v>
      </c>
      <c r="C71" s="162" t="s">
        <v>27</v>
      </c>
      <c r="D71" s="163">
        <v>0.0</v>
      </c>
      <c r="E71" s="163">
        <v>4.8775E8</v>
      </c>
      <c r="F71" s="137">
        <f t="shared" si="2"/>
        <v>623467064</v>
      </c>
      <c r="H71" s="85"/>
      <c r="I71" s="86"/>
      <c r="J71" s="89"/>
      <c r="K71" s="89"/>
      <c r="L71" s="145"/>
    </row>
    <row r="72" ht="16.5" customHeight="1">
      <c r="A72" s="40">
        <v>45610.0</v>
      </c>
      <c r="B72" s="161" t="s">
        <v>239</v>
      </c>
      <c r="C72" s="162" t="s">
        <v>27</v>
      </c>
      <c r="D72" s="163">
        <v>0.0</v>
      </c>
      <c r="E72" s="163">
        <v>2.1405825E8</v>
      </c>
      <c r="F72" s="137">
        <f t="shared" si="2"/>
        <v>409408814</v>
      </c>
      <c r="G72" s="12" t="s">
        <v>240</v>
      </c>
      <c r="H72" s="85"/>
      <c r="I72" s="86"/>
      <c r="J72" s="89"/>
      <c r="K72" s="89"/>
      <c r="L72" s="145"/>
    </row>
    <row r="73" ht="16.5" hidden="1" customHeight="1">
      <c r="A73" s="165"/>
      <c r="B73" s="166" t="s">
        <v>241</v>
      </c>
      <c r="C73" s="167" t="s">
        <v>58</v>
      </c>
      <c r="D73" s="169">
        <v>0.0</v>
      </c>
      <c r="E73" s="169">
        <v>1.24575E7</v>
      </c>
      <c r="F73" s="146">
        <f t="shared" si="2"/>
        <v>396951314</v>
      </c>
      <c r="H73" s="85"/>
      <c r="I73" s="86"/>
      <c r="J73" s="89"/>
      <c r="K73" s="89"/>
      <c r="L73" s="145"/>
    </row>
    <row r="74" ht="16.5" customHeight="1">
      <c r="A74" s="98">
        <v>45629.0</v>
      </c>
      <c r="B74" s="161" t="s">
        <v>244</v>
      </c>
      <c r="C74" s="162" t="s">
        <v>27</v>
      </c>
      <c r="D74" s="163">
        <v>0.0</v>
      </c>
      <c r="E74" s="163">
        <v>1.15251714E8</v>
      </c>
      <c r="F74" s="137">
        <f t="shared" si="2"/>
        <v>281699600</v>
      </c>
      <c r="H74" s="85"/>
      <c r="I74" s="86"/>
      <c r="J74" s="89"/>
      <c r="K74" s="89"/>
      <c r="L74" s="145"/>
    </row>
    <row r="75" ht="16.5" customHeight="1">
      <c r="A75" s="40">
        <v>45632.0</v>
      </c>
      <c r="B75" s="161" t="s">
        <v>245</v>
      </c>
      <c r="C75" s="162" t="s">
        <v>27</v>
      </c>
      <c r="D75" s="163">
        <v>0.0</v>
      </c>
      <c r="E75" s="171">
        <v>8.0E7</v>
      </c>
      <c r="F75" s="137">
        <f t="shared" si="2"/>
        <v>201699600</v>
      </c>
      <c r="H75" s="85"/>
      <c r="I75" s="86"/>
      <c r="J75" s="89"/>
      <c r="K75" s="89"/>
      <c r="L75" s="145"/>
    </row>
    <row r="76" ht="16.5" hidden="1" customHeight="1">
      <c r="A76" s="156"/>
      <c r="B76" s="157" t="s">
        <v>246</v>
      </c>
      <c r="C76" s="158"/>
      <c r="D76" s="159">
        <v>6.0E8</v>
      </c>
      <c r="E76" s="172">
        <v>0.0</v>
      </c>
      <c r="F76" s="160">
        <f t="shared" si="2"/>
        <v>801699600</v>
      </c>
      <c r="H76" s="85"/>
      <c r="I76" s="86"/>
      <c r="J76" s="89"/>
      <c r="K76" s="89"/>
      <c r="L76" s="145"/>
    </row>
    <row r="77" ht="16.5" customHeight="1">
      <c r="A77" s="40">
        <v>45649.0</v>
      </c>
      <c r="B77" s="161" t="s">
        <v>247</v>
      </c>
      <c r="C77" s="162" t="s">
        <v>27</v>
      </c>
      <c r="D77" s="163">
        <v>0.0</v>
      </c>
      <c r="E77" s="171">
        <v>3.589E8</v>
      </c>
      <c r="F77" s="137">
        <f t="shared" si="2"/>
        <v>442799600</v>
      </c>
      <c r="H77" s="85"/>
      <c r="I77" s="86"/>
      <c r="J77" s="89"/>
      <c r="K77" s="89"/>
      <c r="L77" s="145"/>
    </row>
    <row r="78" ht="16.5" customHeight="1">
      <c r="A78" s="40">
        <v>45651.0</v>
      </c>
      <c r="B78" s="161" t="s">
        <v>248</v>
      </c>
      <c r="C78" s="162" t="s">
        <v>27</v>
      </c>
      <c r="D78" s="163">
        <v>0.0</v>
      </c>
      <c r="E78" s="171">
        <v>2.5E8</v>
      </c>
      <c r="F78" s="137">
        <f t="shared" si="2"/>
        <v>192799600</v>
      </c>
      <c r="H78" s="85"/>
      <c r="I78" s="86"/>
      <c r="J78" s="89"/>
      <c r="K78" s="89"/>
      <c r="L78" s="145"/>
    </row>
    <row r="79" ht="16.5" customHeight="1">
      <c r="A79" s="98">
        <v>45660.0</v>
      </c>
      <c r="B79" s="161" t="s">
        <v>250</v>
      </c>
      <c r="C79" s="162" t="s">
        <v>27</v>
      </c>
      <c r="D79" s="163">
        <v>0.0</v>
      </c>
      <c r="E79" s="171">
        <v>9.5E7</v>
      </c>
      <c r="F79" s="137">
        <f t="shared" si="2"/>
        <v>97799600</v>
      </c>
      <c r="H79" s="85"/>
      <c r="I79" s="86"/>
      <c r="J79" s="89"/>
      <c r="K79" s="89"/>
      <c r="L79" s="145"/>
    </row>
    <row r="80" ht="16.5" customHeight="1">
      <c r="A80" s="98">
        <v>45644.0</v>
      </c>
      <c r="B80" s="161" t="s">
        <v>253</v>
      </c>
      <c r="C80" s="162" t="s">
        <v>27</v>
      </c>
      <c r="D80" s="163">
        <v>0.0</v>
      </c>
      <c r="E80" s="171">
        <v>2500000.0</v>
      </c>
      <c r="F80" s="137">
        <f t="shared" si="2"/>
        <v>95299600</v>
      </c>
      <c r="H80" s="85"/>
      <c r="I80" s="86"/>
      <c r="J80" s="89"/>
      <c r="K80" s="89"/>
      <c r="L80" s="145"/>
    </row>
    <row r="81" ht="16.5" hidden="1" customHeight="1">
      <c r="A81" s="165"/>
      <c r="B81" s="166" t="s">
        <v>254</v>
      </c>
      <c r="C81" s="167" t="s">
        <v>58</v>
      </c>
      <c r="D81" s="169">
        <v>0.0</v>
      </c>
      <c r="E81" s="174">
        <v>900000.0</v>
      </c>
      <c r="F81" s="146">
        <f t="shared" si="2"/>
        <v>94399600</v>
      </c>
      <c r="H81" s="85"/>
      <c r="I81" s="86"/>
      <c r="J81" s="89"/>
      <c r="K81" s="89"/>
      <c r="L81" s="145"/>
    </row>
    <row r="82" ht="16.5" hidden="1" customHeight="1">
      <c r="A82" s="165"/>
      <c r="B82" s="166" t="s">
        <v>256</v>
      </c>
      <c r="C82" s="167" t="s">
        <v>58</v>
      </c>
      <c r="D82" s="169">
        <v>0.0</v>
      </c>
      <c r="E82" s="174">
        <f>750000*4</f>
        <v>3000000</v>
      </c>
      <c r="F82" s="146">
        <f t="shared" si="2"/>
        <v>91399600</v>
      </c>
      <c r="H82" s="85"/>
      <c r="I82" s="86"/>
      <c r="J82" s="89"/>
      <c r="K82" s="89"/>
      <c r="L82" s="145"/>
    </row>
    <row r="83" ht="16.5" hidden="1" customHeight="1">
      <c r="A83" s="156"/>
      <c r="B83" s="157" t="s">
        <v>246</v>
      </c>
      <c r="C83" s="158" t="s">
        <v>177</v>
      </c>
      <c r="D83" s="159">
        <v>6.0E8</v>
      </c>
      <c r="E83" s="172">
        <v>0.0</v>
      </c>
      <c r="F83" s="160">
        <f t="shared" si="2"/>
        <v>691399600</v>
      </c>
      <c r="H83" s="85"/>
      <c r="I83" s="86"/>
      <c r="J83" s="89"/>
      <c r="K83" s="89"/>
      <c r="L83" s="145"/>
    </row>
    <row r="84" ht="16.5" customHeight="1">
      <c r="A84" s="98">
        <v>45663.0</v>
      </c>
      <c r="B84" s="161" t="s">
        <v>258</v>
      </c>
      <c r="C84" s="162" t="s">
        <v>27</v>
      </c>
      <c r="D84" s="163">
        <v>0.0</v>
      </c>
      <c r="E84" s="171">
        <v>1.15E8</v>
      </c>
      <c r="F84" s="137">
        <f t="shared" si="2"/>
        <v>576399600</v>
      </c>
      <c r="H84" s="85"/>
      <c r="I84" s="86"/>
      <c r="J84" s="89"/>
      <c r="K84" s="89"/>
      <c r="L84" s="145"/>
    </row>
    <row r="85" ht="16.5" hidden="1" customHeight="1">
      <c r="A85" s="123"/>
      <c r="B85" s="149" t="s">
        <v>261</v>
      </c>
      <c r="C85" s="150" t="s">
        <v>177</v>
      </c>
      <c r="D85" s="151">
        <v>0.0</v>
      </c>
      <c r="E85" s="176">
        <v>1.0E8</v>
      </c>
      <c r="F85" s="130">
        <f t="shared" si="2"/>
        <v>476399600</v>
      </c>
      <c r="H85" s="85"/>
      <c r="I85" s="86"/>
      <c r="J85" s="89"/>
      <c r="K85" s="89"/>
      <c r="L85" s="145"/>
    </row>
    <row r="86" ht="16.5" customHeight="1">
      <c r="A86" s="98">
        <v>45660.0</v>
      </c>
      <c r="B86" s="161" t="s">
        <v>262</v>
      </c>
      <c r="C86" s="162" t="s">
        <v>27</v>
      </c>
      <c r="D86" s="163">
        <v>0.0</v>
      </c>
      <c r="E86" s="171">
        <v>1.5E7</v>
      </c>
      <c r="F86" s="137">
        <f t="shared" si="2"/>
        <v>461399600</v>
      </c>
      <c r="H86" s="85"/>
      <c r="I86" s="86"/>
      <c r="J86" s="89"/>
      <c r="K86" s="89"/>
      <c r="L86" s="145"/>
    </row>
    <row r="87" ht="16.5" customHeight="1">
      <c r="A87" s="40">
        <v>45665.0</v>
      </c>
      <c r="B87" s="161" t="s">
        <v>263</v>
      </c>
      <c r="C87" s="162" t="s">
        <v>27</v>
      </c>
      <c r="D87" s="163">
        <v>0.0</v>
      </c>
      <c r="E87" s="171">
        <v>1.06E8</v>
      </c>
      <c r="F87" s="137">
        <f t="shared" si="2"/>
        <v>355399600</v>
      </c>
      <c r="H87" s="85"/>
      <c r="I87" s="86"/>
      <c r="J87" s="89"/>
      <c r="K87" s="89"/>
      <c r="L87" s="145"/>
    </row>
    <row r="88" ht="16.5" customHeight="1">
      <c r="A88" s="40">
        <v>45666.0</v>
      </c>
      <c r="B88" s="161" t="s">
        <v>264</v>
      </c>
      <c r="C88" s="162" t="s">
        <v>27</v>
      </c>
      <c r="D88" s="163">
        <v>0.0</v>
      </c>
      <c r="E88" s="171">
        <v>2.5E8</v>
      </c>
      <c r="F88" s="137">
        <f t="shared" si="2"/>
        <v>105399600</v>
      </c>
      <c r="H88" s="85"/>
      <c r="I88" s="86"/>
      <c r="J88" s="89"/>
      <c r="K88" s="89"/>
      <c r="L88" s="145"/>
    </row>
    <row r="89" ht="16.5" customHeight="1">
      <c r="A89" s="98">
        <v>45666.0</v>
      </c>
      <c r="B89" s="161" t="s">
        <v>266</v>
      </c>
      <c r="C89" s="162" t="s">
        <v>27</v>
      </c>
      <c r="D89" s="163">
        <v>0.0</v>
      </c>
      <c r="E89" s="171">
        <v>1.8E7</v>
      </c>
      <c r="F89" s="137">
        <f t="shared" si="2"/>
        <v>87399600</v>
      </c>
      <c r="H89" s="85"/>
      <c r="I89" s="86"/>
      <c r="J89" s="89"/>
      <c r="K89" s="89"/>
      <c r="L89" s="145"/>
    </row>
    <row r="90" ht="16.5" customHeight="1">
      <c r="A90" s="98">
        <v>45669.0</v>
      </c>
      <c r="B90" s="161" t="s">
        <v>269</v>
      </c>
      <c r="C90" s="162" t="s">
        <v>27</v>
      </c>
      <c r="D90" s="163"/>
      <c r="E90" s="171">
        <v>1.5E7</v>
      </c>
      <c r="F90" s="137">
        <f t="shared" si="2"/>
        <v>72399600</v>
      </c>
      <c r="H90" s="85"/>
      <c r="I90" s="86"/>
      <c r="J90" s="89"/>
      <c r="K90" s="89"/>
      <c r="L90" s="145"/>
    </row>
    <row r="91" ht="16.5" customHeight="1">
      <c r="A91" s="98">
        <v>45665.0</v>
      </c>
      <c r="B91" s="161" t="s">
        <v>270</v>
      </c>
      <c r="C91" s="162" t="s">
        <v>27</v>
      </c>
      <c r="D91" s="163"/>
      <c r="E91" s="171">
        <v>1.0E7</v>
      </c>
      <c r="F91" s="137">
        <f t="shared" si="2"/>
        <v>62399600</v>
      </c>
      <c r="H91" s="85"/>
      <c r="I91" s="86"/>
      <c r="J91" s="89"/>
      <c r="K91" s="89"/>
      <c r="L91" s="145"/>
    </row>
    <row r="92" ht="16.5" customHeight="1">
      <c r="A92" s="98">
        <v>45669.0</v>
      </c>
      <c r="B92" s="161" t="s">
        <v>266</v>
      </c>
      <c r="C92" s="162" t="s">
        <v>27</v>
      </c>
      <c r="D92" s="163">
        <v>0.0</v>
      </c>
      <c r="E92" s="171">
        <v>1.8E7</v>
      </c>
      <c r="F92" s="137">
        <f t="shared" si="2"/>
        <v>44399600</v>
      </c>
      <c r="H92" s="85"/>
      <c r="I92" s="86"/>
      <c r="J92" s="89"/>
      <c r="K92" s="89"/>
      <c r="L92" s="145"/>
    </row>
    <row r="93" ht="16.5" hidden="1" customHeight="1">
      <c r="A93" s="156"/>
      <c r="B93" s="157" t="s">
        <v>246</v>
      </c>
      <c r="C93" s="158"/>
      <c r="D93" s="159">
        <v>1.2E9</v>
      </c>
      <c r="E93" s="172">
        <v>0.0</v>
      </c>
      <c r="F93" s="160">
        <f t="shared" si="2"/>
        <v>1244399600</v>
      </c>
      <c r="H93" s="85"/>
      <c r="I93" s="86"/>
      <c r="J93" s="89"/>
      <c r="K93" s="89"/>
      <c r="L93" s="145"/>
    </row>
    <row r="94" ht="16.5" customHeight="1">
      <c r="A94" s="40">
        <v>45671.0</v>
      </c>
      <c r="B94" s="161" t="s">
        <v>272</v>
      </c>
      <c r="C94" s="162" t="s">
        <v>27</v>
      </c>
      <c r="D94" s="163"/>
      <c r="E94" s="171">
        <v>2.214E8</v>
      </c>
      <c r="F94" s="137">
        <f t="shared" si="2"/>
        <v>1022999600</v>
      </c>
      <c r="H94" s="85"/>
      <c r="I94" s="86"/>
      <c r="J94" s="89"/>
      <c r="K94" s="89"/>
      <c r="L94" s="145"/>
    </row>
    <row r="95" ht="16.5" customHeight="1">
      <c r="A95" s="40">
        <v>45671.0</v>
      </c>
      <c r="B95" s="161" t="s">
        <v>275</v>
      </c>
      <c r="C95" s="162" t="s">
        <v>27</v>
      </c>
      <c r="D95" s="163"/>
      <c r="E95" s="171">
        <v>6.5E7</v>
      </c>
      <c r="F95" s="137">
        <f t="shared" si="2"/>
        <v>957999600</v>
      </c>
      <c r="H95" s="85"/>
      <c r="I95" s="86"/>
      <c r="J95" s="89"/>
      <c r="K95" s="89"/>
      <c r="L95" s="145"/>
    </row>
    <row r="96" ht="16.5" customHeight="1">
      <c r="A96" s="40">
        <v>45671.0</v>
      </c>
      <c r="B96" s="161" t="s">
        <v>276</v>
      </c>
      <c r="C96" s="162" t="s">
        <v>27</v>
      </c>
      <c r="D96" s="163"/>
      <c r="E96" s="171">
        <v>5.0E7</v>
      </c>
      <c r="F96" s="137">
        <f t="shared" si="2"/>
        <v>907999600</v>
      </c>
      <c r="H96" s="85"/>
      <c r="I96" s="86"/>
      <c r="J96" s="89"/>
      <c r="K96" s="89"/>
      <c r="L96" s="145"/>
    </row>
    <row r="97" ht="16.5" hidden="1" customHeight="1">
      <c r="A97" s="165"/>
      <c r="B97" s="166" t="s">
        <v>277</v>
      </c>
      <c r="C97" s="167" t="s">
        <v>58</v>
      </c>
      <c r="D97" s="169"/>
      <c r="E97" s="174">
        <v>1332000.0</v>
      </c>
      <c r="F97" s="146">
        <f t="shared" si="2"/>
        <v>906667600</v>
      </c>
      <c r="H97" s="85"/>
      <c r="I97" s="86"/>
      <c r="J97" s="89"/>
      <c r="K97" s="89"/>
      <c r="L97" s="145"/>
    </row>
    <row r="98" ht="16.5" hidden="1" customHeight="1">
      <c r="A98" s="165"/>
      <c r="B98" s="166" t="s">
        <v>279</v>
      </c>
      <c r="C98" s="167" t="s">
        <v>58</v>
      </c>
      <c r="D98" s="169"/>
      <c r="E98" s="174">
        <v>1650000.0</v>
      </c>
      <c r="F98" s="146">
        <f t="shared" si="2"/>
        <v>905017600</v>
      </c>
      <c r="H98" s="85"/>
      <c r="I98" s="86"/>
      <c r="J98" s="89"/>
      <c r="K98" s="89"/>
      <c r="L98" s="145"/>
    </row>
    <row r="99" ht="16.5" hidden="1" customHeight="1">
      <c r="A99" s="165"/>
      <c r="B99" s="166" t="s">
        <v>281</v>
      </c>
      <c r="C99" s="167" t="s">
        <v>58</v>
      </c>
      <c r="D99" s="169"/>
      <c r="E99" s="174">
        <v>680000.0</v>
      </c>
      <c r="F99" s="146">
        <f t="shared" si="2"/>
        <v>904337600</v>
      </c>
      <c r="H99" s="85"/>
      <c r="I99" s="86"/>
      <c r="J99" s="89"/>
      <c r="K99" s="89"/>
      <c r="L99" s="145"/>
    </row>
    <row r="100" ht="16.5" customHeight="1">
      <c r="A100" s="98">
        <v>45679.0</v>
      </c>
      <c r="B100" s="161" t="s">
        <v>283</v>
      </c>
      <c r="C100" s="162" t="s">
        <v>27</v>
      </c>
      <c r="D100" s="163"/>
      <c r="E100" s="171">
        <v>1.030252E7</v>
      </c>
      <c r="F100" s="137">
        <f t="shared" si="2"/>
        <v>894035080</v>
      </c>
      <c r="H100" s="85"/>
      <c r="I100" s="86"/>
      <c r="J100" s="89"/>
      <c r="K100" s="89"/>
      <c r="L100" s="145"/>
    </row>
    <row r="101" ht="16.5" customHeight="1">
      <c r="A101" s="40">
        <v>45679.0</v>
      </c>
      <c r="B101" s="161" t="s">
        <v>286</v>
      </c>
      <c r="C101" s="162" t="s">
        <v>27</v>
      </c>
      <c r="D101" s="163"/>
      <c r="E101" s="171">
        <f>250000000+178087040+4972800</f>
        <v>433059840</v>
      </c>
      <c r="F101" s="137">
        <f t="shared" si="2"/>
        <v>460975240</v>
      </c>
      <c r="H101" s="85"/>
      <c r="I101" s="86"/>
      <c r="J101" s="89"/>
      <c r="K101" s="89"/>
      <c r="L101" s="145"/>
    </row>
    <row r="102" ht="16.5" customHeight="1">
      <c r="A102" s="98">
        <v>45688.0</v>
      </c>
      <c r="B102" s="161" t="s">
        <v>287</v>
      </c>
      <c r="C102" s="162" t="s">
        <v>27</v>
      </c>
      <c r="D102" s="163"/>
      <c r="E102" s="171">
        <v>3.0E7</v>
      </c>
      <c r="F102" s="137">
        <f t="shared" si="2"/>
        <v>430975240</v>
      </c>
      <c r="H102" s="85"/>
      <c r="I102" s="86"/>
      <c r="J102" s="89"/>
      <c r="K102" s="89"/>
      <c r="L102" s="145"/>
    </row>
    <row r="103" ht="16.5" customHeight="1">
      <c r="A103" s="98">
        <v>45691.0</v>
      </c>
      <c r="B103" s="161" t="s">
        <v>290</v>
      </c>
      <c r="C103" s="162" t="s">
        <v>27</v>
      </c>
      <c r="D103" s="163"/>
      <c r="E103" s="171">
        <v>5.0E7</v>
      </c>
      <c r="F103" s="137">
        <f t="shared" si="2"/>
        <v>380975240</v>
      </c>
      <c r="H103" s="85"/>
      <c r="I103" s="86"/>
      <c r="J103" s="89"/>
      <c r="K103" s="89"/>
      <c r="L103" s="145"/>
    </row>
    <row r="104" ht="16.5" customHeight="1">
      <c r="A104" s="98">
        <v>45677.0</v>
      </c>
      <c r="B104" s="161" t="s">
        <v>293</v>
      </c>
      <c r="C104" s="162" t="s">
        <v>27</v>
      </c>
      <c r="D104" s="163"/>
      <c r="E104" s="171">
        <v>2.5E7</v>
      </c>
      <c r="F104" s="137">
        <f t="shared" si="2"/>
        <v>355975240</v>
      </c>
      <c r="H104" s="85"/>
      <c r="I104" s="86"/>
      <c r="J104" s="89"/>
      <c r="K104" s="89"/>
      <c r="L104" s="145"/>
    </row>
    <row r="105" ht="16.5" customHeight="1">
      <c r="A105" s="98">
        <v>45692.0</v>
      </c>
      <c r="B105" s="161" t="s">
        <v>296</v>
      </c>
      <c r="C105" s="162" t="s">
        <v>27</v>
      </c>
      <c r="D105" s="163"/>
      <c r="E105" s="171">
        <v>8.0E7</v>
      </c>
      <c r="F105" s="137">
        <f t="shared" si="2"/>
        <v>275975240</v>
      </c>
      <c r="H105" s="85"/>
      <c r="I105" s="86"/>
      <c r="J105" s="89"/>
      <c r="K105" s="89"/>
      <c r="L105" s="145"/>
    </row>
    <row r="106" ht="16.5" customHeight="1">
      <c r="A106" s="98">
        <v>45692.0</v>
      </c>
      <c r="B106" s="161" t="s">
        <v>297</v>
      </c>
      <c r="C106" s="162" t="s">
        <v>27</v>
      </c>
      <c r="D106" s="163"/>
      <c r="E106" s="171">
        <v>7.861232E7</v>
      </c>
      <c r="F106" s="137">
        <f t="shared" si="2"/>
        <v>197362920</v>
      </c>
      <c r="H106" s="85"/>
      <c r="I106" s="86"/>
      <c r="J106" s="89"/>
      <c r="K106" s="89"/>
      <c r="L106" s="145"/>
    </row>
    <row r="107" ht="16.5" customHeight="1">
      <c r="A107" s="40">
        <v>45694.0</v>
      </c>
      <c r="B107" s="161" t="s">
        <v>299</v>
      </c>
      <c r="C107" s="162" t="s">
        <v>27</v>
      </c>
      <c r="D107" s="163"/>
      <c r="E107" s="182">
        <v>5.751243E7</v>
      </c>
      <c r="F107" s="137">
        <f t="shared" si="2"/>
        <v>139850490</v>
      </c>
      <c r="H107" s="85"/>
      <c r="I107" s="86"/>
      <c r="J107" s="89"/>
      <c r="K107" s="89"/>
      <c r="L107" s="145"/>
    </row>
    <row r="108" ht="16.5" customHeight="1">
      <c r="A108" s="98">
        <v>45694.0</v>
      </c>
      <c r="B108" s="161" t="s">
        <v>302</v>
      </c>
      <c r="C108" s="162" t="s">
        <v>27</v>
      </c>
      <c r="D108" s="163"/>
      <c r="E108" s="171">
        <v>960000.0</v>
      </c>
      <c r="F108" s="137">
        <f t="shared" si="2"/>
        <v>138890490</v>
      </c>
      <c r="H108" s="85"/>
      <c r="I108" s="86"/>
      <c r="J108" s="89"/>
      <c r="K108" s="89"/>
      <c r="L108" s="145"/>
    </row>
    <row r="109" ht="16.5" customHeight="1">
      <c r="A109" s="98">
        <v>45702.0</v>
      </c>
      <c r="B109" s="161" t="s">
        <v>304</v>
      </c>
      <c r="C109" s="162" t="s">
        <v>27</v>
      </c>
      <c r="D109" s="163"/>
      <c r="E109" s="171">
        <v>7.0E7</v>
      </c>
      <c r="F109" s="137">
        <f t="shared" si="2"/>
        <v>68890490</v>
      </c>
      <c r="H109" s="85"/>
      <c r="I109" s="86"/>
      <c r="J109" s="89"/>
      <c r="K109" s="89"/>
      <c r="L109" s="145"/>
    </row>
    <row r="110" ht="16.5" customHeight="1">
      <c r="A110" s="98">
        <v>45705.0</v>
      </c>
      <c r="B110" s="161" t="s">
        <v>270</v>
      </c>
      <c r="C110" s="162" t="s">
        <v>27</v>
      </c>
      <c r="D110" s="163"/>
      <c r="E110" s="171">
        <v>2.0E7</v>
      </c>
      <c r="F110" s="137">
        <f t="shared" si="2"/>
        <v>48890490</v>
      </c>
      <c r="H110" s="85"/>
      <c r="I110" s="86"/>
      <c r="J110" s="89"/>
      <c r="K110" s="89"/>
      <c r="L110" s="145"/>
    </row>
    <row r="111" ht="16.5" customHeight="1">
      <c r="A111" s="98">
        <v>45705.0</v>
      </c>
      <c r="B111" s="161" t="s">
        <v>307</v>
      </c>
      <c r="C111" s="162" t="s">
        <v>27</v>
      </c>
      <c r="D111" s="163"/>
      <c r="E111" s="171">
        <v>1665000.0</v>
      </c>
      <c r="F111" s="137">
        <f t="shared" si="2"/>
        <v>47225490</v>
      </c>
      <c r="H111" s="85"/>
      <c r="I111" s="86"/>
      <c r="J111" s="89"/>
      <c r="K111" s="89"/>
      <c r="L111" s="145"/>
    </row>
    <row r="112" ht="16.5" hidden="1" customHeight="1">
      <c r="A112" s="165"/>
      <c r="B112" s="166" t="s">
        <v>309</v>
      </c>
      <c r="C112" s="167" t="s">
        <v>58</v>
      </c>
      <c r="D112" s="169"/>
      <c r="E112" s="174">
        <v>900000.0</v>
      </c>
      <c r="F112" s="146">
        <f t="shared" si="2"/>
        <v>46325490</v>
      </c>
      <c r="H112" s="85"/>
      <c r="I112" s="86"/>
      <c r="J112" s="89"/>
      <c r="K112" s="89"/>
      <c r="L112" s="145"/>
    </row>
    <row r="113" ht="16.5" customHeight="1">
      <c r="A113" s="40">
        <v>45707.0</v>
      </c>
      <c r="B113" s="161" t="s">
        <v>312</v>
      </c>
      <c r="C113" s="162" t="s">
        <v>27</v>
      </c>
      <c r="D113" s="163"/>
      <c r="E113" s="182">
        <v>1.515E7</v>
      </c>
      <c r="F113" s="137">
        <f t="shared" si="2"/>
        <v>31175490</v>
      </c>
      <c r="H113" s="85"/>
      <c r="I113" s="86"/>
      <c r="J113" s="89"/>
      <c r="K113" s="89"/>
      <c r="L113" s="145"/>
    </row>
    <row r="114" ht="16.5" hidden="1" customHeight="1">
      <c r="A114" s="156"/>
      <c r="B114" s="157" t="s">
        <v>143</v>
      </c>
      <c r="C114" s="158"/>
      <c r="D114" s="159">
        <v>1.0E9</v>
      </c>
      <c r="E114" s="172"/>
      <c r="F114" s="160">
        <f t="shared" si="2"/>
        <v>1031175490</v>
      </c>
      <c r="H114" s="85"/>
      <c r="I114" s="86"/>
      <c r="J114" s="89"/>
      <c r="K114" s="89"/>
      <c r="L114" s="145"/>
    </row>
    <row r="115" ht="16.5" customHeight="1">
      <c r="A115" s="40">
        <v>45708.0</v>
      </c>
      <c r="B115" s="161" t="s">
        <v>316</v>
      </c>
      <c r="C115" s="162" t="s">
        <v>27</v>
      </c>
      <c r="D115" s="163"/>
      <c r="E115" s="171">
        <v>1.5E7</v>
      </c>
      <c r="F115" s="137">
        <f t="shared" si="2"/>
        <v>1016175490</v>
      </c>
      <c r="H115" s="85"/>
      <c r="I115" s="86"/>
      <c r="J115" s="89"/>
      <c r="K115" s="89"/>
      <c r="L115" s="145"/>
    </row>
    <row r="116" ht="16.5" customHeight="1">
      <c r="A116" s="40">
        <v>45708.0</v>
      </c>
      <c r="B116" s="161" t="s">
        <v>318</v>
      </c>
      <c r="C116" s="162" t="s">
        <v>27</v>
      </c>
      <c r="D116" s="163"/>
      <c r="E116" s="182">
        <v>1.5E7</v>
      </c>
      <c r="F116" s="137">
        <f t="shared" si="2"/>
        <v>1001175490</v>
      </c>
      <c r="H116" s="85"/>
      <c r="I116" s="86"/>
      <c r="J116" s="89"/>
      <c r="K116" s="89"/>
      <c r="L116" s="145"/>
    </row>
    <row r="117" ht="16.5" hidden="1" customHeight="1">
      <c r="A117" s="183"/>
      <c r="B117" s="185" t="s">
        <v>320</v>
      </c>
      <c r="C117" s="186"/>
      <c r="D117" s="187"/>
      <c r="E117" s="188"/>
      <c r="F117" s="189"/>
      <c r="H117" s="85"/>
      <c r="I117" s="86"/>
      <c r="J117" s="89"/>
      <c r="K117" s="89"/>
      <c r="L117" s="145"/>
    </row>
    <row r="118" ht="16.5" customHeight="1">
      <c r="A118" s="98">
        <v>45712.0</v>
      </c>
      <c r="B118" s="161" t="s">
        <v>323</v>
      </c>
      <c r="C118" s="162" t="s">
        <v>27</v>
      </c>
      <c r="D118" s="163"/>
      <c r="E118" s="171">
        <v>1.8876E8</v>
      </c>
      <c r="F118" s="137">
        <f>F116+D118-E118</f>
        <v>812415490</v>
      </c>
      <c r="H118" s="85"/>
      <c r="I118" s="86"/>
      <c r="J118" s="89"/>
      <c r="K118" s="89"/>
      <c r="L118" s="145"/>
    </row>
    <row r="119" ht="16.5" customHeight="1">
      <c r="A119" s="98">
        <v>45717.0</v>
      </c>
      <c r="B119" s="161" t="s">
        <v>326</v>
      </c>
      <c r="C119" s="162" t="s">
        <v>27</v>
      </c>
      <c r="D119" s="163"/>
      <c r="E119" s="171">
        <v>1875000.0</v>
      </c>
      <c r="F119" s="137">
        <f t="shared" ref="F119:F166" si="4">F118+D119-E119</f>
        <v>810540490</v>
      </c>
      <c r="H119" s="85"/>
      <c r="I119" s="86"/>
      <c r="J119" s="89"/>
      <c r="K119" s="89"/>
      <c r="L119" s="145"/>
    </row>
    <row r="120" ht="16.5" hidden="1" customHeight="1">
      <c r="A120" s="165"/>
      <c r="B120" s="166" t="s">
        <v>327</v>
      </c>
      <c r="C120" s="167" t="s">
        <v>58</v>
      </c>
      <c r="D120" s="169"/>
      <c r="E120" s="174">
        <v>1500000.0</v>
      </c>
      <c r="F120" s="146">
        <f t="shared" si="4"/>
        <v>809040490</v>
      </c>
      <c r="H120" s="85"/>
      <c r="I120" s="86"/>
      <c r="J120" s="89"/>
      <c r="K120" s="89"/>
      <c r="L120" s="145"/>
    </row>
    <row r="121" ht="16.5" customHeight="1">
      <c r="A121" s="191">
        <v>45717.0</v>
      </c>
      <c r="B121" s="193" t="s">
        <v>330</v>
      </c>
      <c r="C121" s="194" t="s">
        <v>27</v>
      </c>
      <c r="D121" s="195"/>
      <c r="E121" s="196">
        <v>2.847E7</v>
      </c>
      <c r="F121" s="195">
        <f t="shared" si="4"/>
        <v>780570490</v>
      </c>
      <c r="H121" s="85"/>
      <c r="I121" s="86"/>
      <c r="J121" s="89"/>
      <c r="K121" s="89"/>
      <c r="L121" s="145"/>
    </row>
    <row r="122" ht="16.5" customHeight="1">
      <c r="A122" s="197">
        <v>45727.0</v>
      </c>
      <c r="B122" s="198" t="s">
        <v>333</v>
      </c>
      <c r="C122" s="199" t="s">
        <v>27</v>
      </c>
      <c r="D122" s="200"/>
      <c r="E122" s="201">
        <v>2.4527719E7</v>
      </c>
      <c r="F122" s="195">
        <f t="shared" si="4"/>
        <v>756042771</v>
      </c>
      <c r="H122" s="85"/>
      <c r="I122" s="86"/>
      <c r="J122" s="89"/>
      <c r="K122" s="89"/>
      <c r="L122" s="145"/>
    </row>
    <row r="123" ht="16.5" customHeight="1">
      <c r="A123" s="197">
        <v>45727.0</v>
      </c>
      <c r="B123" s="198" t="s">
        <v>336</v>
      </c>
      <c r="C123" s="199" t="s">
        <v>27</v>
      </c>
      <c r="D123" s="200"/>
      <c r="E123" s="201">
        <v>2.0E7</v>
      </c>
      <c r="F123" s="195">
        <f t="shared" si="4"/>
        <v>736042771</v>
      </c>
      <c r="H123" s="85"/>
      <c r="I123" s="86"/>
      <c r="J123" s="89"/>
      <c r="K123" s="89"/>
      <c r="L123" s="145"/>
    </row>
    <row r="124" ht="16.5" customHeight="1">
      <c r="A124" s="197">
        <v>45738.0</v>
      </c>
      <c r="B124" s="198" t="s">
        <v>338</v>
      </c>
      <c r="C124" s="199" t="s">
        <v>27</v>
      </c>
      <c r="D124" s="200"/>
      <c r="E124" s="201">
        <v>4.0E7</v>
      </c>
      <c r="F124" s="195">
        <f t="shared" si="4"/>
        <v>696042771</v>
      </c>
      <c r="H124" s="85"/>
      <c r="I124" s="86"/>
      <c r="J124" s="89"/>
      <c r="K124" s="89"/>
      <c r="L124" s="145"/>
    </row>
    <row r="125" ht="16.5" customHeight="1">
      <c r="A125" s="197">
        <v>45738.0</v>
      </c>
      <c r="B125" s="198" t="s">
        <v>340</v>
      </c>
      <c r="C125" s="199" t="s">
        <v>27</v>
      </c>
      <c r="D125" s="200"/>
      <c r="E125" s="201">
        <v>4.0E7</v>
      </c>
      <c r="F125" s="195">
        <f t="shared" si="4"/>
        <v>656042771</v>
      </c>
      <c r="H125" s="85"/>
      <c r="I125" s="86"/>
      <c r="J125" s="89"/>
      <c r="K125" s="89"/>
      <c r="L125" s="145"/>
    </row>
    <row r="126" ht="16.5" hidden="1" customHeight="1">
      <c r="A126" s="202"/>
      <c r="B126" s="203" t="s">
        <v>342</v>
      </c>
      <c r="C126" s="204" t="s">
        <v>58</v>
      </c>
      <c r="D126" s="205"/>
      <c r="E126" s="206">
        <v>1800000.0</v>
      </c>
      <c r="F126" s="133">
        <f t="shared" si="4"/>
        <v>654242771</v>
      </c>
      <c r="H126" s="85"/>
      <c r="I126" s="86"/>
      <c r="J126" s="89"/>
      <c r="K126" s="89"/>
      <c r="L126" s="145"/>
    </row>
    <row r="127" ht="16.5" customHeight="1">
      <c r="A127" s="197">
        <v>45764.0</v>
      </c>
      <c r="B127" s="198" t="s">
        <v>346</v>
      </c>
      <c r="C127" s="199" t="s">
        <v>27</v>
      </c>
      <c r="D127" s="200"/>
      <c r="E127" s="201">
        <v>9.547776E7</v>
      </c>
      <c r="F127" s="195">
        <f t="shared" si="4"/>
        <v>558765011</v>
      </c>
      <c r="H127" s="85"/>
      <c r="I127" s="86"/>
      <c r="J127" s="89"/>
      <c r="K127" s="89"/>
      <c r="L127" s="145"/>
    </row>
    <row r="128" ht="16.5" customHeight="1">
      <c r="A128" s="197">
        <v>45764.0</v>
      </c>
      <c r="B128" s="198" t="s">
        <v>346</v>
      </c>
      <c r="C128" s="199" t="s">
        <v>27</v>
      </c>
      <c r="D128" s="200"/>
      <c r="E128" s="201">
        <v>1.965308E7</v>
      </c>
      <c r="F128" s="200">
        <f t="shared" si="4"/>
        <v>539111931</v>
      </c>
      <c r="H128" s="85"/>
      <c r="I128" s="86"/>
      <c r="J128" s="89"/>
      <c r="K128" s="89"/>
      <c r="L128" s="145"/>
    </row>
    <row r="129" ht="16.5" customHeight="1">
      <c r="A129" s="197">
        <v>45775.0</v>
      </c>
      <c r="B129" s="198" t="s">
        <v>348</v>
      </c>
      <c r="C129" s="199" t="s">
        <v>27</v>
      </c>
      <c r="D129" s="200"/>
      <c r="E129" s="201">
        <v>2.02575E8</v>
      </c>
      <c r="F129" s="200">
        <f t="shared" si="4"/>
        <v>336536931</v>
      </c>
      <c r="H129" s="85"/>
      <c r="I129" s="86"/>
      <c r="J129" s="89"/>
      <c r="K129" s="89"/>
      <c r="L129" s="145"/>
    </row>
    <row r="130" ht="16.5" customHeight="1">
      <c r="A130" s="208" t="s">
        <v>350</v>
      </c>
      <c r="B130" s="198" t="s">
        <v>352</v>
      </c>
      <c r="C130" s="199" t="s">
        <v>27</v>
      </c>
      <c r="D130" s="200"/>
      <c r="E130" s="201">
        <v>1869016.0</v>
      </c>
      <c r="F130" s="200">
        <f t="shared" si="4"/>
        <v>334667915</v>
      </c>
      <c r="H130" s="85"/>
      <c r="I130" s="86"/>
      <c r="J130" s="89"/>
      <c r="K130" s="89"/>
      <c r="L130" s="145"/>
    </row>
    <row r="131" ht="16.5" customHeight="1">
      <c r="A131" s="197">
        <v>45784.0</v>
      </c>
      <c r="B131" s="198" t="s">
        <v>354</v>
      </c>
      <c r="C131" s="199" t="s">
        <v>27</v>
      </c>
      <c r="D131" s="200"/>
      <c r="E131" s="201">
        <v>6.0E7</v>
      </c>
      <c r="F131" s="200">
        <f t="shared" si="4"/>
        <v>274667915</v>
      </c>
      <c r="H131" s="85"/>
      <c r="I131" s="86"/>
      <c r="J131" s="89"/>
      <c r="K131" s="89"/>
      <c r="L131" s="145"/>
    </row>
    <row r="132" ht="16.5" customHeight="1">
      <c r="A132" s="197">
        <v>45799.0</v>
      </c>
      <c r="B132" s="198" t="s">
        <v>355</v>
      </c>
      <c r="C132" s="199" t="s">
        <v>27</v>
      </c>
      <c r="D132" s="200"/>
      <c r="E132" s="201">
        <v>1.5E7</v>
      </c>
      <c r="F132" s="200">
        <f t="shared" si="4"/>
        <v>259667915</v>
      </c>
      <c r="H132" s="85"/>
      <c r="I132" s="86"/>
      <c r="J132" s="89"/>
      <c r="K132" s="89"/>
      <c r="L132" s="145"/>
    </row>
    <row r="133" ht="16.5" hidden="1" customHeight="1">
      <c r="A133" s="209">
        <v>45805.0</v>
      </c>
      <c r="B133" s="210" t="s">
        <v>356</v>
      </c>
      <c r="C133" s="211"/>
      <c r="D133" s="212">
        <f>190000*12650</f>
        <v>2403500000</v>
      </c>
      <c r="E133" s="212"/>
      <c r="F133" s="212">
        <f t="shared" si="4"/>
        <v>2663167915</v>
      </c>
      <c r="H133" s="85"/>
      <c r="I133" s="86"/>
      <c r="J133" s="89"/>
      <c r="K133" s="89"/>
      <c r="L133" s="145"/>
    </row>
    <row r="134" ht="16.5" customHeight="1">
      <c r="A134" s="197">
        <v>45810.0</v>
      </c>
      <c r="B134" s="198" t="s">
        <v>357</v>
      </c>
      <c r="C134" s="199" t="s">
        <v>27</v>
      </c>
      <c r="D134" s="200"/>
      <c r="E134" s="201">
        <v>1.8876E8</v>
      </c>
      <c r="F134" s="200">
        <f t="shared" si="4"/>
        <v>2474407915</v>
      </c>
      <c r="H134" s="85"/>
      <c r="I134" s="86"/>
      <c r="J134" s="89"/>
      <c r="K134" s="89"/>
      <c r="L134" s="145"/>
    </row>
    <row r="135" ht="16.5" customHeight="1">
      <c r="A135" s="197">
        <v>45810.0</v>
      </c>
      <c r="B135" s="198" t="s">
        <v>358</v>
      </c>
      <c r="C135" s="199" t="s">
        <v>27</v>
      </c>
      <c r="D135" s="200"/>
      <c r="E135" s="201">
        <v>1.0E7</v>
      </c>
      <c r="F135" s="200">
        <f t="shared" si="4"/>
        <v>2464407915</v>
      </c>
      <c r="H135" s="85"/>
      <c r="I135" s="86"/>
      <c r="J135" s="89"/>
      <c r="K135" s="89"/>
      <c r="L135" s="145"/>
    </row>
    <row r="136" ht="16.5" customHeight="1">
      <c r="A136" s="197">
        <v>45814.0</v>
      </c>
      <c r="B136" s="198" t="s">
        <v>360</v>
      </c>
      <c r="C136" s="199" t="s">
        <v>27</v>
      </c>
      <c r="D136" s="200"/>
      <c r="E136" s="201">
        <v>1.0E7</v>
      </c>
      <c r="F136" s="200">
        <f t="shared" si="4"/>
        <v>2454407915</v>
      </c>
      <c r="H136" s="85"/>
      <c r="I136" s="86"/>
      <c r="J136" s="89"/>
      <c r="K136" s="89"/>
      <c r="L136" s="145"/>
    </row>
    <row r="137" ht="16.5" customHeight="1">
      <c r="A137" s="197">
        <v>45818.0</v>
      </c>
      <c r="B137" s="198" t="s">
        <v>363</v>
      </c>
      <c r="C137" s="199" t="s">
        <v>27</v>
      </c>
      <c r="D137" s="200"/>
      <c r="E137" s="201">
        <v>1.50372E8</v>
      </c>
      <c r="F137" s="200">
        <f t="shared" si="4"/>
        <v>2304035915</v>
      </c>
      <c r="H137" s="85"/>
      <c r="I137" s="86"/>
      <c r="J137" s="89"/>
      <c r="K137" s="89"/>
      <c r="L137" s="145"/>
    </row>
    <row r="138" ht="16.5" customHeight="1">
      <c r="A138" s="197">
        <v>45818.0</v>
      </c>
      <c r="B138" s="198" t="s">
        <v>364</v>
      </c>
      <c r="C138" s="199" t="s">
        <v>27</v>
      </c>
      <c r="D138" s="200"/>
      <c r="E138" s="201">
        <v>4.501E7</v>
      </c>
      <c r="F138" s="200">
        <f t="shared" si="4"/>
        <v>2259025915</v>
      </c>
      <c r="H138" s="85"/>
      <c r="I138" s="86"/>
      <c r="J138" s="89"/>
      <c r="K138" s="89"/>
      <c r="L138" s="145"/>
    </row>
    <row r="139" ht="16.5" customHeight="1">
      <c r="A139" s="197">
        <v>45813.0</v>
      </c>
      <c r="B139" s="198" t="s">
        <v>366</v>
      </c>
      <c r="C139" s="199" t="s">
        <v>27</v>
      </c>
      <c r="D139" s="200"/>
      <c r="E139" s="201">
        <v>7362500.0</v>
      </c>
      <c r="F139" s="200">
        <f t="shared" si="4"/>
        <v>2251663415</v>
      </c>
      <c r="H139" s="85"/>
      <c r="I139" s="86"/>
      <c r="J139" s="89"/>
      <c r="K139" s="89"/>
      <c r="L139" s="145"/>
    </row>
    <row r="140" ht="16.5" customHeight="1">
      <c r="A140" s="197">
        <v>45818.0</v>
      </c>
      <c r="B140" s="198" t="s">
        <v>369</v>
      </c>
      <c r="C140" s="199" t="s">
        <v>27</v>
      </c>
      <c r="D140" s="200"/>
      <c r="E140" s="201">
        <v>7091286.0</v>
      </c>
      <c r="F140" s="200">
        <f t="shared" si="4"/>
        <v>2244572129</v>
      </c>
      <c r="H140" s="85"/>
      <c r="I140" s="86"/>
      <c r="J140" s="89"/>
      <c r="K140" s="89"/>
      <c r="L140" s="145"/>
    </row>
    <row r="141" ht="16.5" customHeight="1">
      <c r="A141" s="197">
        <v>45819.0</v>
      </c>
      <c r="B141" s="198" t="s">
        <v>370</v>
      </c>
      <c r="C141" s="199" t="s">
        <v>27</v>
      </c>
      <c r="D141" s="200"/>
      <c r="E141" s="201">
        <f>188925000+250000000</f>
        <v>438925000</v>
      </c>
      <c r="F141" s="200">
        <f t="shared" si="4"/>
        <v>1805647129</v>
      </c>
      <c r="H141" s="85"/>
      <c r="I141" s="86"/>
      <c r="J141" s="89"/>
      <c r="K141" s="89"/>
      <c r="L141" s="145"/>
    </row>
    <row r="142" ht="16.5" hidden="1" customHeight="1">
      <c r="A142" s="218">
        <v>45829.0</v>
      </c>
      <c r="B142" s="203" t="s">
        <v>373</v>
      </c>
      <c r="C142" s="204" t="s">
        <v>58</v>
      </c>
      <c r="D142" s="205"/>
      <c r="E142" s="206">
        <v>1800000.0</v>
      </c>
      <c r="F142" s="221">
        <f t="shared" si="4"/>
        <v>1803847129</v>
      </c>
      <c r="H142" s="85"/>
      <c r="I142" s="86"/>
      <c r="J142" s="89"/>
      <c r="K142" s="89"/>
      <c r="L142" s="145"/>
    </row>
    <row r="143" ht="16.5" hidden="1" customHeight="1">
      <c r="A143" s="218">
        <v>45829.0</v>
      </c>
      <c r="B143" s="203" t="s">
        <v>379</v>
      </c>
      <c r="C143" s="204" t="s">
        <v>58</v>
      </c>
      <c r="D143" s="205"/>
      <c r="E143" s="206">
        <v>1332000.0</v>
      </c>
      <c r="F143" s="221">
        <f t="shared" si="4"/>
        <v>1802515129</v>
      </c>
      <c r="H143" s="85"/>
      <c r="I143" s="86"/>
      <c r="J143" s="89"/>
      <c r="K143" s="89"/>
      <c r="L143" s="145"/>
    </row>
    <row r="144" ht="16.5" customHeight="1">
      <c r="A144" s="197">
        <v>45829.0</v>
      </c>
      <c r="B144" s="198" t="s">
        <v>384</v>
      </c>
      <c r="C144" s="199" t="s">
        <v>27</v>
      </c>
      <c r="D144" s="200"/>
      <c r="E144" s="201">
        <v>9.5028E7</v>
      </c>
      <c r="F144" s="200">
        <f t="shared" si="4"/>
        <v>1707487129</v>
      </c>
      <c r="H144" s="85"/>
      <c r="I144" s="86"/>
      <c r="J144" s="89"/>
      <c r="K144" s="89"/>
      <c r="L144" s="145"/>
    </row>
    <row r="145" ht="16.5" customHeight="1">
      <c r="A145" s="197">
        <v>45829.0</v>
      </c>
      <c r="B145" s="198" t="s">
        <v>386</v>
      </c>
      <c r="C145" s="199" t="s">
        <v>27</v>
      </c>
      <c r="D145" s="200"/>
      <c r="E145" s="201">
        <v>4.5E7</v>
      </c>
      <c r="F145" s="200">
        <f t="shared" si="4"/>
        <v>1662487129</v>
      </c>
      <c r="H145" s="85"/>
      <c r="I145" s="86"/>
      <c r="J145" s="89"/>
      <c r="K145" s="89"/>
      <c r="L145" s="145"/>
    </row>
    <row r="146" ht="16.5" customHeight="1">
      <c r="A146" s="197">
        <v>45831.0</v>
      </c>
      <c r="B146" s="198" t="s">
        <v>388</v>
      </c>
      <c r="C146" s="199" t="s">
        <v>27</v>
      </c>
      <c r="D146" s="200"/>
      <c r="E146" s="201">
        <v>3.0E7</v>
      </c>
      <c r="F146" s="200">
        <f t="shared" si="4"/>
        <v>1632487129</v>
      </c>
      <c r="H146" s="85"/>
      <c r="I146" s="86"/>
      <c r="J146" s="89"/>
      <c r="K146" s="89"/>
      <c r="L146" s="145"/>
    </row>
    <row r="147" ht="16.5" customHeight="1">
      <c r="A147" s="197">
        <v>45832.0</v>
      </c>
      <c r="B147" s="198" t="s">
        <v>392</v>
      </c>
      <c r="C147" s="199" t="s">
        <v>27</v>
      </c>
      <c r="D147" s="200"/>
      <c r="E147" s="201">
        <v>5000000.0</v>
      </c>
      <c r="F147" s="200">
        <f t="shared" si="4"/>
        <v>1627487129</v>
      </c>
      <c r="H147" s="85"/>
      <c r="I147" s="86"/>
      <c r="J147" s="89"/>
      <c r="K147" s="89"/>
      <c r="L147" s="145"/>
    </row>
    <row r="148" ht="16.5" customHeight="1">
      <c r="A148" s="197">
        <v>45850.0</v>
      </c>
      <c r="B148" s="198" t="s">
        <v>392</v>
      </c>
      <c r="C148" s="199" t="s">
        <v>27</v>
      </c>
      <c r="D148" s="200"/>
      <c r="E148" s="201">
        <v>5000000.0</v>
      </c>
      <c r="F148" s="200">
        <f t="shared" si="4"/>
        <v>1622487129</v>
      </c>
      <c r="H148" s="85"/>
      <c r="I148" s="86"/>
      <c r="J148" s="89"/>
      <c r="K148" s="89"/>
      <c r="L148" s="145"/>
    </row>
    <row r="149" ht="16.5" customHeight="1">
      <c r="A149" s="197">
        <v>45831.0</v>
      </c>
      <c r="B149" s="198" t="s">
        <v>397</v>
      </c>
      <c r="C149" s="199" t="s">
        <v>27</v>
      </c>
      <c r="D149" s="200"/>
      <c r="E149" s="201">
        <v>1958400.0</v>
      </c>
      <c r="F149" s="200">
        <f t="shared" si="4"/>
        <v>1620528729</v>
      </c>
      <c r="H149" s="85"/>
      <c r="I149" s="86"/>
      <c r="J149" s="89"/>
      <c r="K149" s="89"/>
      <c r="L149" s="145"/>
    </row>
    <row r="150" ht="16.5" customHeight="1">
      <c r="A150" s="197">
        <v>45867.0</v>
      </c>
      <c r="B150" s="198" t="s">
        <v>401</v>
      </c>
      <c r="C150" s="199" t="s">
        <v>27</v>
      </c>
      <c r="D150" s="200"/>
      <c r="E150" s="201">
        <v>1.5E8</v>
      </c>
      <c r="F150" s="200">
        <f t="shared" si="4"/>
        <v>1470528729</v>
      </c>
      <c r="H150" s="85"/>
      <c r="I150" s="86"/>
      <c r="J150" s="89"/>
      <c r="K150" s="89"/>
      <c r="L150" s="145"/>
    </row>
    <row r="151" ht="16.5" customHeight="1">
      <c r="A151" s="197">
        <v>45864.0</v>
      </c>
      <c r="B151" s="198" t="s">
        <v>402</v>
      </c>
      <c r="C151" s="199" t="s">
        <v>27</v>
      </c>
      <c r="D151" s="200"/>
      <c r="E151" s="201">
        <v>7357004.0</v>
      </c>
      <c r="F151" s="200">
        <f t="shared" si="4"/>
        <v>1463171725</v>
      </c>
      <c r="H151" s="85"/>
      <c r="I151" s="86"/>
      <c r="J151" s="89"/>
      <c r="K151" s="89"/>
      <c r="L151" s="145"/>
    </row>
    <row r="152" ht="16.5" hidden="1" customHeight="1">
      <c r="A152" s="223"/>
      <c r="B152" s="224" t="s">
        <v>403</v>
      </c>
      <c r="C152" s="225" t="s">
        <v>58</v>
      </c>
      <c r="D152" s="221"/>
      <c r="E152" s="84">
        <f>5*750000</f>
        <v>3750000</v>
      </c>
      <c r="F152" s="221">
        <f t="shared" si="4"/>
        <v>1459421725</v>
      </c>
      <c r="H152" s="85"/>
      <c r="I152" s="86"/>
      <c r="J152" s="89"/>
      <c r="K152" s="89"/>
      <c r="L152" s="145"/>
    </row>
    <row r="153" ht="16.5" customHeight="1">
      <c r="A153" s="197">
        <v>45873.0</v>
      </c>
      <c r="B153" s="198" t="s">
        <v>404</v>
      </c>
      <c r="C153" s="199" t="s">
        <v>27</v>
      </c>
      <c r="D153" s="200"/>
      <c r="E153" s="201">
        <v>3298000.0</v>
      </c>
      <c r="F153" s="200">
        <f t="shared" si="4"/>
        <v>1456123725</v>
      </c>
      <c r="H153" s="85"/>
      <c r="I153" s="86"/>
      <c r="J153" s="89"/>
      <c r="K153" s="89"/>
      <c r="L153" s="145"/>
    </row>
    <row r="154" ht="16.5" customHeight="1">
      <c r="A154" s="197">
        <v>45876.0</v>
      </c>
      <c r="B154" s="198" t="s">
        <v>405</v>
      </c>
      <c r="C154" s="199" t="s">
        <v>27</v>
      </c>
      <c r="D154" s="200"/>
      <c r="E154" s="201">
        <v>1500000.0</v>
      </c>
      <c r="F154" s="200">
        <f t="shared" si="4"/>
        <v>1454623725</v>
      </c>
      <c r="H154" s="85"/>
      <c r="I154" s="86"/>
      <c r="J154" s="89"/>
      <c r="K154" s="89"/>
      <c r="L154" s="145"/>
    </row>
    <row r="155" ht="16.5" customHeight="1">
      <c r="A155" s="197">
        <v>45881.0</v>
      </c>
      <c r="B155" s="198" t="s">
        <v>406</v>
      </c>
      <c r="C155" s="199" t="s">
        <v>27</v>
      </c>
      <c r="D155" s="200"/>
      <c r="E155" s="201">
        <v>7.62E7</v>
      </c>
      <c r="F155" s="200">
        <f t="shared" si="4"/>
        <v>1378423725</v>
      </c>
      <c r="H155" s="85"/>
      <c r="I155" s="86"/>
      <c r="J155" s="89"/>
      <c r="K155" s="89"/>
      <c r="L155" s="145"/>
    </row>
    <row r="156" ht="16.5" hidden="1" customHeight="1">
      <c r="A156" s="223">
        <v>45881.0</v>
      </c>
      <c r="B156" s="224" t="s">
        <v>407</v>
      </c>
      <c r="C156" s="225" t="s">
        <v>58</v>
      </c>
      <c r="D156" s="221"/>
      <c r="E156" s="84">
        <v>1800000.0</v>
      </c>
      <c r="F156" s="221">
        <f t="shared" si="4"/>
        <v>1376623725</v>
      </c>
      <c r="H156" s="85"/>
      <c r="I156" s="86"/>
      <c r="J156" s="89"/>
      <c r="K156" s="89"/>
      <c r="L156" s="145"/>
    </row>
    <row r="157" ht="16.5" customHeight="1">
      <c r="A157" s="197">
        <v>45882.0</v>
      </c>
      <c r="B157" s="198" t="s">
        <v>408</v>
      </c>
      <c r="C157" s="199" t="s">
        <v>27</v>
      </c>
      <c r="D157" s="200"/>
      <c r="E157" s="201">
        <v>7.191828E7</v>
      </c>
      <c r="F157" s="200">
        <f t="shared" si="4"/>
        <v>1304705445</v>
      </c>
      <c r="H157" s="85"/>
      <c r="I157" s="86"/>
      <c r="J157" s="89"/>
      <c r="K157" s="89"/>
      <c r="L157" s="145"/>
    </row>
    <row r="158" ht="16.5" customHeight="1">
      <c r="A158" s="197">
        <v>45883.0</v>
      </c>
      <c r="B158" s="198" t="s">
        <v>409</v>
      </c>
      <c r="C158" s="199" t="s">
        <v>27</v>
      </c>
      <c r="D158" s="200"/>
      <c r="E158" s="201">
        <v>1.0E7</v>
      </c>
      <c r="F158" s="200">
        <f t="shared" si="4"/>
        <v>1294705445</v>
      </c>
      <c r="H158" s="85"/>
      <c r="I158" s="86"/>
      <c r="J158" s="89"/>
      <c r="K158" s="89"/>
      <c r="L158" s="145"/>
    </row>
    <row r="159" ht="16.5" customHeight="1">
      <c r="A159" s="197">
        <v>45883.0</v>
      </c>
      <c r="B159" s="198" t="s">
        <v>410</v>
      </c>
      <c r="C159" s="199" t="s">
        <v>27</v>
      </c>
      <c r="D159" s="200"/>
      <c r="E159" s="201">
        <v>1614600.0</v>
      </c>
      <c r="F159" s="200">
        <f t="shared" si="4"/>
        <v>1293090845</v>
      </c>
      <c r="H159" s="85"/>
      <c r="I159" s="86"/>
      <c r="J159" s="89"/>
      <c r="K159" s="89"/>
      <c r="L159" s="145"/>
    </row>
    <row r="160" ht="16.5" customHeight="1">
      <c r="A160" s="197">
        <v>45888.0</v>
      </c>
      <c r="B160" s="198" t="s">
        <v>411</v>
      </c>
      <c r="C160" s="199" t="s">
        <v>27</v>
      </c>
      <c r="D160" s="200"/>
      <c r="E160" s="201">
        <v>3000000.0</v>
      </c>
      <c r="F160" s="200">
        <f t="shared" si="4"/>
        <v>1290090845</v>
      </c>
      <c r="H160" s="85"/>
      <c r="I160" s="86"/>
      <c r="J160" s="89"/>
      <c r="K160" s="89"/>
      <c r="L160" s="145"/>
    </row>
    <row r="161" ht="16.5" customHeight="1">
      <c r="A161" s="197">
        <v>45889.0</v>
      </c>
      <c r="B161" s="198" t="s">
        <v>412</v>
      </c>
      <c r="C161" s="199" t="s">
        <v>27</v>
      </c>
      <c r="D161" s="200"/>
      <c r="E161" s="201">
        <v>2.5E8</v>
      </c>
      <c r="F161" s="200">
        <f t="shared" si="4"/>
        <v>1040090845</v>
      </c>
      <c r="H161" s="226"/>
      <c r="I161" s="3"/>
      <c r="J161" s="227"/>
      <c r="K161" s="227"/>
      <c r="L161" s="227"/>
    </row>
    <row r="162" ht="16.5" customHeight="1">
      <c r="A162" s="197">
        <v>45885.0</v>
      </c>
      <c r="B162" s="198" t="s">
        <v>410</v>
      </c>
      <c r="C162" s="199" t="s">
        <v>27</v>
      </c>
      <c r="D162" s="200"/>
      <c r="E162" s="201">
        <v>1830675.0</v>
      </c>
      <c r="F162" s="200">
        <f t="shared" si="4"/>
        <v>1038260170</v>
      </c>
      <c r="H162" s="226"/>
      <c r="I162" s="3"/>
      <c r="J162" s="227"/>
      <c r="K162" s="227"/>
      <c r="L162" s="227"/>
    </row>
    <row r="163" ht="16.5" customHeight="1">
      <c r="A163" s="197">
        <v>45890.0</v>
      </c>
      <c r="B163" s="198" t="s">
        <v>413</v>
      </c>
      <c r="C163" s="199" t="s">
        <v>27</v>
      </c>
      <c r="D163" s="200"/>
      <c r="E163" s="201">
        <v>1.1165232E7</v>
      </c>
      <c r="F163" s="200">
        <f t="shared" si="4"/>
        <v>1027094938</v>
      </c>
      <c r="H163" s="226"/>
      <c r="I163" s="3"/>
      <c r="J163" s="227"/>
      <c r="K163" s="227"/>
      <c r="L163" s="227"/>
    </row>
    <row r="164" ht="16.5" customHeight="1">
      <c r="A164" s="197">
        <v>45890.0</v>
      </c>
      <c r="B164" s="198" t="s">
        <v>414</v>
      </c>
      <c r="C164" s="199" t="s">
        <v>27</v>
      </c>
      <c r="D164" s="200"/>
      <c r="E164" s="201">
        <v>9.9903E7</v>
      </c>
      <c r="F164" s="200">
        <f t="shared" si="4"/>
        <v>927191938</v>
      </c>
      <c r="H164" s="226"/>
      <c r="I164" s="3"/>
      <c r="J164" s="227"/>
      <c r="K164" s="227"/>
      <c r="L164" s="227"/>
    </row>
    <row r="165" ht="16.5" customHeight="1">
      <c r="A165" s="197">
        <v>45890.0</v>
      </c>
      <c r="B165" s="198" t="s">
        <v>415</v>
      </c>
      <c r="C165" s="199" t="s">
        <v>27</v>
      </c>
      <c r="D165" s="200"/>
      <c r="E165" s="201">
        <v>5.0E8</v>
      </c>
      <c r="F165" s="200">
        <f t="shared" si="4"/>
        <v>427191938</v>
      </c>
      <c r="H165" s="226"/>
      <c r="I165" s="3"/>
      <c r="J165" s="227"/>
      <c r="K165" s="227"/>
      <c r="L165" s="227"/>
    </row>
    <row r="166" ht="16.5" customHeight="1">
      <c r="A166" s="197">
        <v>45891.0</v>
      </c>
      <c r="B166" s="198" t="s">
        <v>416</v>
      </c>
      <c r="C166" s="199" t="s">
        <v>27</v>
      </c>
      <c r="D166" s="200"/>
      <c r="E166" s="201">
        <v>6.81E7</v>
      </c>
      <c r="F166" s="200">
        <f t="shared" si="4"/>
        <v>359091938</v>
      </c>
      <c r="H166" s="226"/>
      <c r="I166" s="3"/>
      <c r="J166" s="227"/>
      <c r="K166" s="227"/>
      <c r="L166" s="227"/>
    </row>
    <row r="167" hidden="1">
      <c r="A167" s="228"/>
      <c r="B167" s="185" t="s">
        <v>320</v>
      </c>
      <c r="C167" s="229"/>
      <c r="D167" s="230"/>
      <c r="E167" s="231"/>
      <c r="F167" s="230"/>
      <c r="H167" s="226"/>
      <c r="I167" s="3"/>
      <c r="J167" s="227"/>
      <c r="K167" s="227"/>
      <c r="L167" s="227"/>
    </row>
    <row r="168" ht="16.5" customHeight="1">
      <c r="A168" s="232">
        <v>45901.0</v>
      </c>
      <c r="B168" s="233" t="s">
        <v>417</v>
      </c>
      <c r="C168" s="234" t="s">
        <v>27</v>
      </c>
      <c r="D168" s="235">
        <v>2.0E9</v>
      </c>
      <c r="E168" s="235"/>
      <c r="F168" s="236">
        <f>F166+D168-E168</f>
        <v>2359091938</v>
      </c>
      <c r="H168" s="226"/>
      <c r="I168" s="3"/>
      <c r="J168" s="227"/>
      <c r="K168" s="227"/>
      <c r="L168" s="227"/>
    </row>
    <row r="169" ht="16.5" customHeight="1">
      <c r="A169" s="197">
        <v>45901.0</v>
      </c>
      <c r="B169" s="198" t="s">
        <v>293</v>
      </c>
      <c r="C169" s="199" t="s">
        <v>27</v>
      </c>
      <c r="D169" s="200"/>
      <c r="E169" s="201">
        <v>1.0E9</v>
      </c>
      <c r="F169" s="200">
        <f t="shared" ref="F169:F183" si="5">F168+D169-E169</f>
        <v>1359091938</v>
      </c>
      <c r="H169" s="226"/>
      <c r="I169" s="3"/>
      <c r="J169" s="227"/>
      <c r="K169" s="227"/>
      <c r="L169" s="227"/>
    </row>
    <row r="170" ht="16.5" customHeight="1">
      <c r="A170" s="197">
        <v>45901.0</v>
      </c>
      <c r="B170" s="198" t="s">
        <v>418</v>
      </c>
      <c r="C170" s="199" t="s">
        <v>27</v>
      </c>
      <c r="D170" s="200"/>
      <c r="E170" s="201">
        <v>5.0E7</v>
      </c>
      <c r="F170" s="200">
        <f t="shared" si="5"/>
        <v>1309091938</v>
      </c>
      <c r="H170" s="226"/>
      <c r="I170" s="3"/>
      <c r="J170" s="227"/>
      <c r="K170" s="227"/>
      <c r="L170" s="227"/>
    </row>
    <row r="171" ht="16.5" customHeight="1">
      <c r="A171" s="197">
        <v>45901.0</v>
      </c>
      <c r="B171" s="198" t="s">
        <v>419</v>
      </c>
      <c r="C171" s="199" t="s">
        <v>27</v>
      </c>
      <c r="D171" s="200"/>
      <c r="E171" s="201">
        <v>1.0644961E7</v>
      </c>
      <c r="F171" s="200">
        <f t="shared" si="5"/>
        <v>1298446977</v>
      </c>
      <c r="H171" s="226"/>
      <c r="I171" s="3"/>
      <c r="J171" s="227"/>
      <c r="K171" s="227"/>
      <c r="L171" s="227"/>
    </row>
    <row r="172" ht="16.5" customHeight="1">
      <c r="A172" s="197">
        <v>45901.0</v>
      </c>
      <c r="B172" s="198" t="s">
        <v>420</v>
      </c>
      <c r="C172" s="199" t="s">
        <v>27</v>
      </c>
      <c r="D172" s="200"/>
      <c r="E172" s="201">
        <v>2.0E7</v>
      </c>
      <c r="F172" s="200">
        <f t="shared" si="5"/>
        <v>1278446977</v>
      </c>
      <c r="H172" s="226"/>
      <c r="I172" s="3"/>
      <c r="J172" s="227"/>
      <c r="K172" s="227"/>
      <c r="L172" s="227"/>
    </row>
    <row r="173" ht="16.5" customHeight="1">
      <c r="A173" s="197">
        <v>45902.0</v>
      </c>
      <c r="B173" s="198" t="s">
        <v>409</v>
      </c>
      <c r="C173" s="199" t="s">
        <v>27</v>
      </c>
      <c r="D173" s="200"/>
      <c r="E173" s="201">
        <v>1.5E7</v>
      </c>
      <c r="F173" s="200">
        <f t="shared" si="5"/>
        <v>1263446977</v>
      </c>
      <c r="H173" s="226"/>
      <c r="I173" s="3"/>
      <c r="J173" s="227"/>
      <c r="K173" s="227"/>
      <c r="L173" s="227"/>
    </row>
    <row r="174" ht="16.5" customHeight="1">
      <c r="A174" s="197">
        <v>45910.0</v>
      </c>
      <c r="B174" s="198" t="s">
        <v>421</v>
      </c>
      <c r="C174" s="199" t="s">
        <v>27</v>
      </c>
      <c r="D174" s="200"/>
      <c r="E174" s="201">
        <v>7.3470625E7</v>
      </c>
      <c r="F174" s="200">
        <f t="shared" si="5"/>
        <v>1189976352</v>
      </c>
      <c r="H174" s="226"/>
      <c r="I174" s="3"/>
      <c r="J174" s="227"/>
      <c r="K174" s="227"/>
      <c r="L174" s="227"/>
    </row>
    <row r="175" ht="16.5" customHeight="1">
      <c r="A175" s="197">
        <v>45915.0</v>
      </c>
      <c r="B175" s="198" t="s">
        <v>422</v>
      </c>
      <c r="C175" s="199" t="s">
        <v>27</v>
      </c>
      <c r="D175" s="200"/>
      <c r="E175" s="201">
        <v>1.05688647E8</v>
      </c>
      <c r="F175" s="200">
        <f t="shared" si="5"/>
        <v>1084287705</v>
      </c>
      <c r="H175" s="226"/>
      <c r="I175" s="3"/>
      <c r="J175" s="227"/>
      <c r="K175" s="227"/>
      <c r="L175" s="227"/>
    </row>
    <row r="176" ht="16.5" customHeight="1">
      <c r="A176" s="197">
        <v>45916.0</v>
      </c>
      <c r="B176" s="198" t="s">
        <v>423</v>
      </c>
      <c r="C176" s="199" t="s">
        <v>27</v>
      </c>
      <c r="D176" s="200"/>
      <c r="E176" s="201">
        <v>1.5E8</v>
      </c>
      <c r="F176" s="200">
        <f t="shared" si="5"/>
        <v>934287705</v>
      </c>
      <c r="H176" s="226"/>
      <c r="I176" s="3"/>
      <c r="J176" s="227"/>
      <c r="K176" s="227"/>
      <c r="L176" s="227"/>
    </row>
    <row r="177" ht="16.5" customHeight="1">
      <c r="A177" s="197">
        <v>45916.0</v>
      </c>
      <c r="B177" s="198" t="s">
        <v>424</v>
      </c>
      <c r="C177" s="199" t="s">
        <v>27</v>
      </c>
      <c r="D177" s="200"/>
      <c r="E177" s="201">
        <v>3.1167E7</v>
      </c>
      <c r="F177" s="200">
        <f t="shared" si="5"/>
        <v>903120705</v>
      </c>
      <c r="H177" s="226"/>
      <c r="I177" s="3"/>
      <c r="J177" s="227"/>
      <c r="K177" s="227"/>
      <c r="L177" s="227"/>
    </row>
    <row r="178" ht="16.5" hidden="1" customHeight="1">
      <c r="A178" s="223">
        <v>374636.0</v>
      </c>
      <c r="B178" s="224" t="s">
        <v>425</v>
      </c>
      <c r="C178" s="225" t="s">
        <v>58</v>
      </c>
      <c r="D178" s="221"/>
      <c r="E178" s="84">
        <v>1998000.0</v>
      </c>
      <c r="F178" s="221">
        <f t="shared" si="5"/>
        <v>901122705</v>
      </c>
      <c r="H178" s="226"/>
      <c r="I178" s="3"/>
      <c r="J178" s="227"/>
      <c r="K178" s="227"/>
      <c r="L178" s="227"/>
    </row>
    <row r="179" ht="16.5" customHeight="1">
      <c r="A179" s="197">
        <v>45924.0</v>
      </c>
      <c r="B179" s="198" t="s">
        <v>426</v>
      </c>
      <c r="C179" s="199" t="s">
        <v>27</v>
      </c>
      <c r="D179" s="200"/>
      <c r="E179" s="201">
        <v>1.0E8</v>
      </c>
      <c r="F179" s="200">
        <f t="shared" si="5"/>
        <v>801122705</v>
      </c>
      <c r="H179" s="226"/>
      <c r="I179" s="3"/>
      <c r="J179" s="227"/>
      <c r="K179" s="227"/>
      <c r="L179" s="227"/>
    </row>
    <row r="180" ht="16.5" customHeight="1">
      <c r="A180" s="197">
        <v>45924.0</v>
      </c>
      <c r="B180" s="198" t="s">
        <v>427</v>
      </c>
      <c r="C180" s="199" t="s">
        <v>27</v>
      </c>
      <c r="D180" s="200"/>
      <c r="E180" s="201">
        <v>1.5E8</v>
      </c>
      <c r="F180" s="200">
        <f t="shared" si="5"/>
        <v>651122705</v>
      </c>
      <c r="H180" s="226"/>
      <c r="I180" s="3"/>
      <c r="J180" s="227"/>
      <c r="K180" s="227"/>
      <c r="L180" s="227"/>
    </row>
    <row r="181" ht="16.5" customHeight="1">
      <c r="A181" s="197">
        <v>45925.0</v>
      </c>
      <c r="B181" s="198" t="s">
        <v>428</v>
      </c>
      <c r="C181" s="199" t="s">
        <v>27</v>
      </c>
      <c r="D181" s="200"/>
      <c r="E181" s="201">
        <v>1.0377795E7</v>
      </c>
      <c r="F181" s="200">
        <f t="shared" si="5"/>
        <v>640744910</v>
      </c>
      <c r="H181" s="226"/>
      <c r="I181" s="3"/>
      <c r="J181" s="227"/>
      <c r="K181" s="227"/>
      <c r="L181" s="227"/>
    </row>
    <row r="182" ht="16.5" customHeight="1">
      <c r="A182" s="208" t="s">
        <v>429</v>
      </c>
      <c r="B182" s="198" t="s">
        <v>430</v>
      </c>
      <c r="C182" s="199" t="s">
        <v>27</v>
      </c>
      <c r="D182" s="200"/>
      <c r="E182" s="201">
        <v>9000000.0</v>
      </c>
      <c r="F182" s="200">
        <f t="shared" si="5"/>
        <v>631744910</v>
      </c>
      <c r="H182" s="226"/>
      <c r="I182" s="3"/>
      <c r="J182" s="227"/>
      <c r="K182" s="227"/>
      <c r="L182" s="227"/>
    </row>
    <row r="183" ht="16.5" customHeight="1">
      <c r="A183" s="197">
        <v>45930.0</v>
      </c>
      <c r="B183" s="198" t="s">
        <v>431</v>
      </c>
      <c r="C183" s="199" t="s">
        <v>27</v>
      </c>
      <c r="D183" s="200"/>
      <c r="E183" s="201">
        <v>1.2411763E7</v>
      </c>
      <c r="F183" s="200">
        <f t="shared" si="5"/>
        <v>619333147</v>
      </c>
      <c r="H183" s="226"/>
      <c r="I183" s="3"/>
      <c r="J183" s="227"/>
      <c r="K183" s="227"/>
      <c r="L183" s="227"/>
    </row>
    <row r="184" ht="16.5" customHeight="1">
      <c r="A184" s="228"/>
      <c r="B184" s="237"/>
      <c r="C184" s="229"/>
      <c r="D184" s="230"/>
      <c r="E184" s="231"/>
      <c r="F184" s="230"/>
      <c r="H184" s="226"/>
      <c r="I184" s="3"/>
      <c r="J184" s="227"/>
      <c r="K184" s="227"/>
      <c r="L184" s="227"/>
    </row>
    <row r="185" ht="16.5" customHeight="1">
      <c r="A185" s="197">
        <v>45937.0</v>
      </c>
      <c r="B185" s="198" t="s">
        <v>432</v>
      </c>
      <c r="C185" s="199" t="s">
        <v>27</v>
      </c>
      <c r="D185" s="200"/>
      <c r="E185" s="201">
        <v>1.0E7</v>
      </c>
      <c r="F185" s="200">
        <f>F183+D185-E185</f>
        <v>609333147</v>
      </c>
      <c r="H185" s="226"/>
      <c r="I185" s="3"/>
      <c r="J185" s="227"/>
      <c r="K185" s="227"/>
      <c r="L185" s="227"/>
    </row>
    <row r="186" ht="16.5" customHeight="1">
      <c r="A186" s="197">
        <v>45938.0</v>
      </c>
      <c r="B186" s="198" t="s">
        <v>306</v>
      </c>
      <c r="C186" s="199" t="s">
        <v>27</v>
      </c>
      <c r="D186" s="200"/>
      <c r="E186" s="201">
        <v>1.4255763E7</v>
      </c>
      <c r="F186" s="200">
        <f t="shared" ref="F186:F198" si="6">F185+D186-E186</f>
        <v>595077384</v>
      </c>
      <c r="H186" s="226"/>
      <c r="I186" s="3"/>
      <c r="J186" s="227"/>
      <c r="K186" s="227"/>
      <c r="L186" s="227"/>
    </row>
    <row r="187" ht="16.5" customHeight="1">
      <c r="A187" s="197">
        <v>45941.0</v>
      </c>
      <c r="B187" s="198" t="s">
        <v>433</v>
      </c>
      <c r="C187" s="199" t="s">
        <v>27</v>
      </c>
      <c r="D187" s="200"/>
      <c r="E187" s="201">
        <v>1.0E7</v>
      </c>
      <c r="F187" s="200">
        <f t="shared" si="6"/>
        <v>585077384</v>
      </c>
      <c r="H187" s="226"/>
      <c r="I187" s="3"/>
      <c r="J187" s="227"/>
      <c r="K187" s="227"/>
      <c r="L187" s="227"/>
    </row>
    <row r="188" ht="16.5" customHeight="1">
      <c r="A188" s="197">
        <v>45943.0</v>
      </c>
      <c r="B188" s="198" t="s">
        <v>434</v>
      </c>
      <c r="C188" s="199" t="s">
        <v>27</v>
      </c>
      <c r="D188" s="200"/>
      <c r="E188" s="201">
        <v>1450000.0</v>
      </c>
      <c r="F188" s="200">
        <f t="shared" si="6"/>
        <v>583627384</v>
      </c>
      <c r="H188" s="226"/>
      <c r="I188" s="3"/>
      <c r="J188" s="227"/>
      <c r="K188" s="227"/>
      <c r="L188" s="227"/>
    </row>
    <row r="189" ht="16.5" customHeight="1">
      <c r="A189" s="197">
        <v>45944.0</v>
      </c>
      <c r="B189" s="198" t="s">
        <v>435</v>
      </c>
      <c r="C189" s="199" t="s">
        <v>27</v>
      </c>
      <c r="D189" s="200"/>
      <c r="E189" s="201">
        <v>1.5E7</v>
      </c>
      <c r="F189" s="200">
        <f t="shared" si="6"/>
        <v>568627384</v>
      </c>
      <c r="H189" s="226"/>
      <c r="I189" s="3"/>
      <c r="J189" s="227"/>
      <c r="K189" s="227"/>
      <c r="L189" s="227"/>
    </row>
    <row r="190" ht="16.5" customHeight="1">
      <c r="A190" s="197">
        <v>45948.0</v>
      </c>
      <c r="B190" s="198" t="s">
        <v>436</v>
      </c>
      <c r="C190" s="199" t="s">
        <v>27</v>
      </c>
      <c r="D190" s="200"/>
      <c r="E190" s="201">
        <v>4.74E7</v>
      </c>
      <c r="F190" s="200">
        <f t="shared" si="6"/>
        <v>521227384</v>
      </c>
      <c r="H190" s="226"/>
      <c r="I190" s="3"/>
      <c r="J190" s="227"/>
      <c r="K190" s="227"/>
      <c r="L190" s="227"/>
    </row>
    <row r="191" ht="16.5" customHeight="1">
      <c r="A191" s="197">
        <v>45952.0</v>
      </c>
      <c r="B191" s="198" t="s">
        <v>437</v>
      </c>
      <c r="C191" s="199" t="s">
        <v>27</v>
      </c>
      <c r="D191" s="200"/>
      <c r="E191" s="201">
        <v>6000000.0</v>
      </c>
      <c r="F191" s="200">
        <f t="shared" si="6"/>
        <v>515227384</v>
      </c>
      <c r="H191" s="226"/>
      <c r="I191" s="3"/>
      <c r="J191" s="227"/>
      <c r="K191" s="227"/>
      <c r="L191" s="227"/>
    </row>
    <row r="192" ht="16.5" customHeight="1">
      <c r="A192" s="197">
        <v>45953.0</v>
      </c>
      <c r="B192" s="198" t="s">
        <v>438</v>
      </c>
      <c r="C192" s="199" t="s">
        <v>27</v>
      </c>
      <c r="D192" s="200"/>
      <c r="E192" s="201">
        <v>1.0377795E7</v>
      </c>
      <c r="F192" s="200">
        <f t="shared" si="6"/>
        <v>504849589</v>
      </c>
      <c r="H192" s="226"/>
      <c r="I192" s="3"/>
      <c r="J192" s="227"/>
      <c r="K192" s="227"/>
      <c r="L192" s="227"/>
    </row>
    <row r="193" ht="16.5" customHeight="1">
      <c r="A193" s="197">
        <v>45955.0</v>
      </c>
      <c r="B193" s="198" t="s">
        <v>439</v>
      </c>
      <c r="C193" s="199" t="s">
        <v>27</v>
      </c>
      <c r="D193" s="200"/>
      <c r="E193" s="201">
        <v>4000000.0</v>
      </c>
      <c r="F193" s="200">
        <f t="shared" si="6"/>
        <v>500849589</v>
      </c>
      <c r="H193" s="226"/>
      <c r="I193" s="3"/>
      <c r="J193" s="227"/>
      <c r="K193" s="227"/>
      <c r="L193" s="227"/>
    </row>
    <row r="194" ht="16.5" customHeight="1">
      <c r="A194" s="197">
        <v>45957.0</v>
      </c>
      <c r="B194" s="198" t="s">
        <v>440</v>
      </c>
      <c r="C194" s="199" t="s">
        <v>27</v>
      </c>
      <c r="D194" s="200"/>
      <c r="E194" s="201">
        <v>7200000.0</v>
      </c>
      <c r="F194" s="200">
        <f t="shared" si="6"/>
        <v>493649589</v>
      </c>
      <c r="H194" s="226"/>
      <c r="I194" s="3"/>
      <c r="J194" s="227"/>
      <c r="K194" s="227"/>
      <c r="L194" s="227"/>
    </row>
    <row r="195" ht="16.5" customHeight="1">
      <c r="A195" s="197">
        <v>45958.0</v>
      </c>
      <c r="B195" s="198" t="s">
        <v>441</v>
      </c>
      <c r="C195" s="199" t="s">
        <v>27</v>
      </c>
      <c r="D195" s="200"/>
      <c r="E195" s="201">
        <v>1.5E8</v>
      </c>
      <c r="F195" s="200">
        <f t="shared" si="6"/>
        <v>343649589</v>
      </c>
      <c r="H195" s="226"/>
      <c r="I195" s="3"/>
      <c r="J195" s="227"/>
      <c r="K195" s="227"/>
      <c r="L195" s="227"/>
    </row>
    <row r="196" ht="16.5" customHeight="1">
      <c r="A196" s="197">
        <v>45958.0</v>
      </c>
      <c r="B196" s="198" t="s">
        <v>442</v>
      </c>
      <c r="C196" s="199" t="s">
        <v>27</v>
      </c>
      <c r="D196" s="200"/>
      <c r="E196" s="201">
        <v>5.7E7</v>
      </c>
      <c r="F196" s="200">
        <f t="shared" si="6"/>
        <v>286649589</v>
      </c>
      <c r="H196" s="226"/>
      <c r="I196" s="3"/>
      <c r="J196" s="227"/>
      <c r="K196" s="227"/>
      <c r="L196" s="227"/>
    </row>
    <row r="197" ht="16.5" customHeight="1">
      <c r="A197" s="197">
        <v>45958.0</v>
      </c>
      <c r="B197" s="198" t="s">
        <v>443</v>
      </c>
      <c r="C197" s="199" t="s">
        <v>27</v>
      </c>
      <c r="D197" s="200"/>
      <c r="E197" s="201">
        <v>1.864E7</v>
      </c>
      <c r="F197" s="200">
        <f t="shared" si="6"/>
        <v>268009589</v>
      </c>
      <c r="H197" s="226"/>
      <c r="I197" s="3"/>
      <c r="J197" s="227"/>
      <c r="K197" s="227"/>
      <c r="L197" s="227"/>
    </row>
    <row r="198" ht="16.5" customHeight="1">
      <c r="A198" s="197">
        <v>45960.0</v>
      </c>
      <c r="B198" s="198" t="s">
        <v>444</v>
      </c>
      <c r="C198" s="199" t="s">
        <v>27</v>
      </c>
      <c r="D198" s="200"/>
      <c r="E198" s="201">
        <v>5000000.0</v>
      </c>
      <c r="F198" s="200">
        <f t="shared" si="6"/>
        <v>263009589</v>
      </c>
      <c r="H198" s="226"/>
      <c r="I198" s="3"/>
      <c r="J198" s="227"/>
      <c r="K198" s="227"/>
      <c r="L198" s="227"/>
    </row>
    <row r="199" ht="16.5" customHeight="1">
      <c r="A199" s="228"/>
      <c r="B199" s="237"/>
      <c r="C199" s="229"/>
      <c r="D199" s="230"/>
      <c r="E199" s="231"/>
      <c r="F199" s="230"/>
      <c r="H199" s="226"/>
      <c r="I199" s="3"/>
      <c r="J199" s="227"/>
      <c r="K199" s="227"/>
      <c r="L199" s="227"/>
    </row>
    <row r="200" ht="16.5" customHeight="1">
      <c r="A200" s="197">
        <v>45962.0</v>
      </c>
      <c r="B200" s="198" t="s">
        <v>445</v>
      </c>
      <c r="C200" s="199" t="s">
        <v>27</v>
      </c>
      <c r="D200" s="200"/>
      <c r="E200" s="201">
        <v>2000000.0</v>
      </c>
      <c r="F200" s="200">
        <f>F198+D200-E200</f>
        <v>261009589</v>
      </c>
      <c r="H200" s="226"/>
      <c r="I200" s="3"/>
      <c r="J200" s="227"/>
      <c r="K200" s="227"/>
      <c r="L200" s="227"/>
    </row>
    <row r="201" ht="16.5" customHeight="1">
      <c r="A201" s="197">
        <v>45969.0</v>
      </c>
      <c r="B201" s="198" t="s">
        <v>445</v>
      </c>
      <c r="C201" s="199" t="s">
        <v>27</v>
      </c>
      <c r="D201" s="200"/>
      <c r="E201" s="201">
        <v>5000000.0</v>
      </c>
      <c r="F201" s="200">
        <f t="shared" ref="F201:F213" si="7">F200+D201-E201</f>
        <v>256009589</v>
      </c>
      <c r="H201" s="226"/>
      <c r="I201" s="3"/>
      <c r="J201" s="227"/>
      <c r="K201" s="227"/>
      <c r="L201" s="227"/>
    </row>
    <row r="202" ht="16.5" customHeight="1">
      <c r="A202" s="197">
        <v>45971.0</v>
      </c>
      <c r="B202" s="198" t="s">
        <v>446</v>
      </c>
      <c r="C202" s="199" t="s">
        <v>27</v>
      </c>
      <c r="D202" s="200"/>
      <c r="E202" s="201">
        <v>1000000.0</v>
      </c>
      <c r="F202" s="200">
        <f t="shared" si="7"/>
        <v>255009589</v>
      </c>
      <c r="H202" s="226"/>
      <c r="I202" s="3"/>
      <c r="J202" s="227"/>
      <c r="K202" s="227"/>
      <c r="L202" s="227"/>
    </row>
    <row r="203" ht="16.5" customHeight="1">
      <c r="A203" s="197">
        <v>45973.0</v>
      </c>
      <c r="B203" s="198" t="s">
        <v>447</v>
      </c>
      <c r="C203" s="199" t="s">
        <v>27</v>
      </c>
      <c r="D203" s="200"/>
      <c r="E203" s="201">
        <v>4.9393592E7</v>
      </c>
      <c r="F203" s="200">
        <f t="shared" si="7"/>
        <v>205615997</v>
      </c>
      <c r="H203" s="226"/>
      <c r="I203" s="3"/>
      <c r="J203" s="227"/>
      <c r="K203" s="227"/>
      <c r="L203" s="227"/>
    </row>
    <row r="204" ht="16.5" customHeight="1">
      <c r="A204" s="197">
        <v>45973.0</v>
      </c>
      <c r="B204" s="198" t="s">
        <v>448</v>
      </c>
      <c r="C204" s="199" t="s">
        <v>27</v>
      </c>
      <c r="D204" s="200"/>
      <c r="E204" s="201">
        <v>1.0E7</v>
      </c>
      <c r="F204" s="200">
        <f t="shared" si="7"/>
        <v>195615997</v>
      </c>
      <c r="H204" s="226"/>
      <c r="I204" s="3"/>
      <c r="J204" s="227"/>
      <c r="K204" s="227"/>
      <c r="L204" s="227"/>
    </row>
    <row r="205" ht="16.5" customHeight="1">
      <c r="A205" s="197">
        <v>45974.0</v>
      </c>
      <c r="B205" s="198" t="s">
        <v>449</v>
      </c>
      <c r="C205" s="199" t="s">
        <v>27</v>
      </c>
      <c r="D205" s="200"/>
      <c r="E205" s="201">
        <v>1905000.0</v>
      </c>
      <c r="F205" s="200">
        <f t="shared" si="7"/>
        <v>193710997</v>
      </c>
      <c r="H205" s="226"/>
      <c r="I205" s="3"/>
      <c r="J205" s="227"/>
      <c r="K205" s="227"/>
      <c r="L205" s="227"/>
    </row>
    <row r="206" ht="16.5" customHeight="1">
      <c r="A206" s="223">
        <v>45975.0</v>
      </c>
      <c r="B206" s="224" t="s">
        <v>450</v>
      </c>
      <c r="C206" s="225" t="s">
        <v>58</v>
      </c>
      <c r="D206" s="221"/>
      <c r="E206" s="84">
        <v>2700000.0</v>
      </c>
      <c r="F206" s="221">
        <f t="shared" si="7"/>
        <v>191010997</v>
      </c>
      <c r="H206" s="226"/>
      <c r="I206" s="3"/>
      <c r="J206" s="227"/>
      <c r="K206" s="227"/>
      <c r="L206" s="227"/>
    </row>
    <row r="207" ht="16.5" customHeight="1">
      <c r="A207" s="238">
        <v>45981.0</v>
      </c>
      <c r="B207" s="239" t="s">
        <v>451</v>
      </c>
      <c r="C207" s="240" t="s">
        <v>177</v>
      </c>
      <c r="D207" s="241">
        <v>1.0E9</v>
      </c>
      <c r="E207" s="241"/>
      <c r="F207" s="242">
        <f t="shared" si="7"/>
        <v>1191010997</v>
      </c>
      <c r="H207" s="226"/>
      <c r="I207" s="3"/>
      <c r="J207" s="227"/>
      <c r="K207" s="227"/>
      <c r="L207" s="227"/>
    </row>
    <row r="208" ht="16.5" customHeight="1">
      <c r="A208" s="243">
        <v>45981.0</v>
      </c>
      <c r="B208" s="198" t="s">
        <v>452</v>
      </c>
      <c r="C208" s="199" t="s">
        <v>27</v>
      </c>
      <c r="D208" s="200"/>
      <c r="E208" s="201">
        <v>2.68E7</v>
      </c>
      <c r="F208" s="200">
        <f t="shared" si="7"/>
        <v>1164210997</v>
      </c>
      <c r="H208" s="226"/>
      <c r="I208" s="3"/>
      <c r="J208" s="227"/>
      <c r="K208" s="227"/>
      <c r="L208" s="227"/>
    </row>
    <row r="209" ht="16.5" customHeight="1">
      <c r="A209" s="197">
        <v>45982.0</v>
      </c>
      <c r="B209" s="198" t="s">
        <v>453</v>
      </c>
      <c r="C209" s="199" t="s">
        <v>27</v>
      </c>
      <c r="D209" s="200"/>
      <c r="E209" s="201">
        <v>6000000.0</v>
      </c>
      <c r="F209" s="200">
        <f t="shared" si="7"/>
        <v>1158210997</v>
      </c>
      <c r="H209" s="226"/>
      <c r="I209" s="3"/>
      <c r="J209" s="227"/>
      <c r="K209" s="227"/>
      <c r="L209" s="227"/>
    </row>
    <row r="210" ht="16.5" customHeight="1">
      <c r="A210" s="197">
        <v>45985.0</v>
      </c>
      <c r="B210" s="198" t="s">
        <v>454</v>
      </c>
      <c r="C210" s="199" t="s">
        <v>27</v>
      </c>
      <c r="D210" s="200"/>
      <c r="E210" s="201">
        <v>7.0E7</v>
      </c>
      <c r="F210" s="200">
        <f t="shared" si="7"/>
        <v>1088210997</v>
      </c>
      <c r="H210" s="226"/>
      <c r="I210" s="3"/>
      <c r="J210" s="227"/>
      <c r="K210" s="227"/>
      <c r="L210" s="227"/>
    </row>
    <row r="211" ht="16.5" customHeight="1">
      <c r="A211" s="197">
        <v>45985.0</v>
      </c>
      <c r="B211" s="198" t="s">
        <v>455</v>
      </c>
      <c r="C211" s="199" t="s">
        <v>27</v>
      </c>
      <c r="D211" s="200"/>
      <c r="E211" s="201">
        <v>1.0377795E7</v>
      </c>
      <c r="F211" s="200">
        <f t="shared" si="7"/>
        <v>1077833202</v>
      </c>
      <c r="H211" s="226"/>
      <c r="I211" s="3"/>
      <c r="J211" s="227"/>
      <c r="K211" s="227"/>
      <c r="L211" s="227"/>
    </row>
    <row r="212" ht="16.5" customHeight="1">
      <c r="A212" s="197">
        <v>45987.0</v>
      </c>
      <c r="B212" s="198" t="s">
        <v>456</v>
      </c>
      <c r="C212" s="199" t="s">
        <v>27</v>
      </c>
      <c r="D212" s="200"/>
      <c r="E212" s="201">
        <v>3393000.0</v>
      </c>
      <c r="F212" s="200">
        <f t="shared" si="7"/>
        <v>1074440202</v>
      </c>
      <c r="H212" s="226"/>
      <c r="I212" s="3"/>
      <c r="J212" s="227"/>
      <c r="K212" s="227"/>
      <c r="L212" s="227"/>
    </row>
    <row r="213" ht="16.5" customHeight="1">
      <c r="A213" s="197">
        <v>45989.0</v>
      </c>
      <c r="B213" s="198" t="s">
        <v>457</v>
      </c>
      <c r="C213" s="199" t="s">
        <v>27</v>
      </c>
      <c r="D213" s="200"/>
      <c r="E213" s="201">
        <v>7000000.0</v>
      </c>
      <c r="F213" s="200">
        <f t="shared" si="7"/>
        <v>1067440202</v>
      </c>
      <c r="H213" s="226"/>
      <c r="I213" s="3"/>
      <c r="J213" s="227"/>
      <c r="K213" s="227"/>
      <c r="L213" s="227"/>
    </row>
    <row r="214" ht="16.5" customHeight="1">
      <c r="A214" s="244" t="s">
        <v>458</v>
      </c>
      <c r="B214" s="237"/>
      <c r="C214" s="229"/>
      <c r="D214" s="230"/>
      <c r="E214" s="231"/>
      <c r="F214" s="230"/>
      <c r="H214" s="226"/>
      <c r="I214" s="3"/>
      <c r="J214" s="227"/>
      <c r="K214" s="227"/>
      <c r="L214" s="227"/>
    </row>
    <row r="215" ht="16.5" customHeight="1">
      <c r="A215" s="223">
        <v>45992.0</v>
      </c>
      <c r="B215" s="224" t="s">
        <v>459</v>
      </c>
      <c r="C215" s="225" t="s">
        <v>58</v>
      </c>
      <c r="D215" s="221"/>
      <c r="E215" s="84">
        <v>1998000.0</v>
      </c>
      <c r="F215" s="221">
        <f>F213+D215-E215</f>
        <v>1065442202</v>
      </c>
      <c r="H215" s="226"/>
      <c r="I215" s="3"/>
      <c r="J215" s="227"/>
      <c r="K215" s="227"/>
      <c r="L215" s="227"/>
    </row>
    <row r="216" ht="16.5" customHeight="1">
      <c r="A216" s="197">
        <v>45993.0</v>
      </c>
      <c r="B216" s="198" t="s">
        <v>460</v>
      </c>
      <c r="C216" s="199" t="s">
        <v>27</v>
      </c>
      <c r="D216" s="200"/>
      <c r="E216" s="201">
        <v>1.0E8</v>
      </c>
      <c r="F216" s="200">
        <f t="shared" ref="F216:F233" si="8">F215+D216-E216</f>
        <v>965442202</v>
      </c>
      <c r="H216" s="226"/>
      <c r="I216" s="3"/>
      <c r="J216" s="227"/>
      <c r="K216" s="227"/>
      <c r="L216" s="227"/>
    </row>
    <row r="217" ht="16.5" customHeight="1">
      <c r="A217" s="197">
        <v>45994.0</v>
      </c>
      <c r="B217" s="198" t="s">
        <v>461</v>
      </c>
      <c r="C217" s="199" t="s">
        <v>27</v>
      </c>
      <c r="D217" s="200"/>
      <c r="E217" s="201">
        <v>3.5478E7</v>
      </c>
      <c r="F217" s="200">
        <f t="shared" si="8"/>
        <v>929964202</v>
      </c>
      <c r="H217" s="226"/>
      <c r="I217" s="3"/>
      <c r="J217" s="227"/>
      <c r="K217" s="227"/>
      <c r="L217" s="227"/>
    </row>
    <row r="218" ht="16.5" customHeight="1">
      <c r="A218" s="197">
        <v>45999.0</v>
      </c>
      <c r="B218" s="198" t="s">
        <v>462</v>
      </c>
      <c r="C218" s="199" t="s">
        <v>27</v>
      </c>
      <c r="D218" s="200"/>
      <c r="E218" s="201">
        <v>1.51325688E8</v>
      </c>
      <c r="F218" s="200">
        <f t="shared" si="8"/>
        <v>778638514</v>
      </c>
      <c r="H218" s="226"/>
      <c r="I218" s="3"/>
      <c r="J218" s="227"/>
      <c r="K218" s="227"/>
      <c r="L218" s="227"/>
    </row>
    <row r="219" ht="16.5" customHeight="1">
      <c r="A219" s="197">
        <v>45999.0</v>
      </c>
      <c r="B219" s="198" t="s">
        <v>463</v>
      </c>
      <c r="C219" s="199" t="s">
        <v>27</v>
      </c>
      <c r="D219" s="200"/>
      <c r="E219" s="201">
        <v>5000000.0</v>
      </c>
      <c r="F219" s="200">
        <f t="shared" si="8"/>
        <v>773638514</v>
      </c>
      <c r="H219" s="226"/>
      <c r="I219" s="3"/>
      <c r="J219" s="227"/>
      <c r="K219" s="227"/>
      <c r="L219" s="227"/>
    </row>
    <row r="220" ht="16.5" customHeight="1">
      <c r="A220" s="197">
        <v>45999.0</v>
      </c>
      <c r="B220" s="198" t="s">
        <v>464</v>
      </c>
      <c r="C220" s="199" t="s">
        <v>27</v>
      </c>
      <c r="D220" s="200"/>
      <c r="E220" s="201">
        <v>1.5E7</v>
      </c>
      <c r="F220" s="200">
        <f t="shared" si="8"/>
        <v>758638514</v>
      </c>
      <c r="H220" s="226"/>
      <c r="I220" s="3"/>
      <c r="J220" s="227"/>
      <c r="K220" s="227"/>
      <c r="L220" s="227"/>
    </row>
    <row r="221" ht="16.5" customHeight="1">
      <c r="A221" s="197">
        <v>45999.0</v>
      </c>
      <c r="B221" s="198" t="s">
        <v>465</v>
      </c>
      <c r="C221" s="199" t="s">
        <v>27</v>
      </c>
      <c r="D221" s="200"/>
      <c r="E221" s="201">
        <v>1500000.0</v>
      </c>
      <c r="F221" s="200">
        <f t="shared" si="8"/>
        <v>757138514</v>
      </c>
      <c r="H221" s="226"/>
      <c r="I221" s="3"/>
      <c r="J221" s="227"/>
      <c r="K221" s="227"/>
      <c r="L221" s="227"/>
    </row>
    <row r="222" ht="16.5" customHeight="1">
      <c r="A222" s="197">
        <v>45999.0</v>
      </c>
      <c r="B222" s="198" t="s">
        <v>466</v>
      </c>
      <c r="C222" s="199" t="s">
        <v>27</v>
      </c>
      <c r="D222" s="200"/>
      <c r="E222" s="201">
        <v>2590000.0</v>
      </c>
      <c r="F222" s="200">
        <f t="shared" si="8"/>
        <v>754548514</v>
      </c>
      <c r="H222" s="226"/>
      <c r="I222" s="3"/>
      <c r="J222" s="227"/>
      <c r="K222" s="227"/>
      <c r="L222" s="227"/>
    </row>
    <row r="223" ht="16.5" customHeight="1">
      <c r="A223" s="197">
        <v>46001.0</v>
      </c>
      <c r="B223" s="245" t="s">
        <v>467</v>
      </c>
      <c r="C223" s="199" t="s">
        <v>27</v>
      </c>
      <c r="D223" s="200"/>
      <c r="E223" s="201">
        <v>5.292E7</v>
      </c>
      <c r="F223" s="200">
        <f t="shared" si="8"/>
        <v>701628514</v>
      </c>
      <c r="H223" s="226"/>
      <c r="I223" s="3"/>
      <c r="J223" s="227"/>
      <c r="K223" s="227"/>
      <c r="L223" s="227"/>
    </row>
    <row r="224" ht="16.5" customHeight="1">
      <c r="A224" s="197">
        <v>46001.0</v>
      </c>
      <c r="B224" s="198" t="s">
        <v>468</v>
      </c>
      <c r="C224" s="199" t="s">
        <v>27</v>
      </c>
      <c r="D224" s="200"/>
      <c r="E224" s="201">
        <v>8000000.0</v>
      </c>
      <c r="F224" s="200">
        <f t="shared" si="8"/>
        <v>693628514</v>
      </c>
      <c r="H224" s="226"/>
      <c r="I224" s="3"/>
      <c r="J224" s="227"/>
      <c r="K224" s="227"/>
      <c r="L224" s="227"/>
    </row>
    <row r="225" ht="16.5" customHeight="1">
      <c r="A225" s="197">
        <v>46004.0</v>
      </c>
      <c r="B225" s="198" t="s">
        <v>466</v>
      </c>
      <c r="C225" s="199" t="s">
        <v>27</v>
      </c>
      <c r="D225" s="200"/>
      <c r="E225" s="201">
        <v>2420000.0</v>
      </c>
      <c r="F225" s="200">
        <f t="shared" si="8"/>
        <v>691208514</v>
      </c>
      <c r="H225" s="226"/>
      <c r="I225" s="3"/>
      <c r="J225" s="227"/>
      <c r="K225" s="227"/>
      <c r="L225" s="227"/>
    </row>
    <row r="226" ht="16.5" customHeight="1">
      <c r="A226" s="197">
        <v>46010.0</v>
      </c>
      <c r="B226" s="198" t="s">
        <v>469</v>
      </c>
      <c r="C226" s="199" t="s">
        <v>27</v>
      </c>
      <c r="D226" s="200"/>
      <c r="E226" s="201">
        <v>1.0110629E7</v>
      </c>
      <c r="F226" s="200">
        <f t="shared" si="8"/>
        <v>681097885</v>
      </c>
      <c r="H226" s="226"/>
      <c r="I226" s="3"/>
      <c r="J226" s="227"/>
      <c r="K226" s="227"/>
      <c r="L226" s="227"/>
    </row>
    <row r="227" ht="16.5" customHeight="1">
      <c r="A227" s="197">
        <v>46012.0</v>
      </c>
      <c r="B227" s="198" t="s">
        <v>466</v>
      </c>
      <c r="C227" s="199" t="s">
        <v>27</v>
      </c>
      <c r="D227" s="200"/>
      <c r="E227" s="201">
        <v>3000000.0</v>
      </c>
      <c r="F227" s="200">
        <f t="shared" si="8"/>
        <v>678097885</v>
      </c>
      <c r="H227" s="226"/>
      <c r="I227" s="3"/>
      <c r="J227" s="227"/>
      <c r="K227" s="227"/>
      <c r="L227" s="227"/>
    </row>
    <row r="228" ht="16.5" customHeight="1">
      <c r="A228" s="246">
        <v>46014.0</v>
      </c>
      <c r="B228" s="247" t="s">
        <v>470</v>
      </c>
      <c r="C228" s="248" t="s">
        <v>471</v>
      </c>
      <c r="D228" s="249"/>
      <c r="E228" s="250">
        <v>3.56424E7</v>
      </c>
      <c r="F228" s="249">
        <f t="shared" si="8"/>
        <v>642455485</v>
      </c>
      <c r="H228" s="226"/>
      <c r="I228" s="3"/>
      <c r="J228" s="227"/>
      <c r="K228" s="227"/>
      <c r="L228" s="227"/>
    </row>
    <row r="229" ht="16.5" customHeight="1">
      <c r="A229" s="197">
        <v>46014.0</v>
      </c>
      <c r="B229" s="198" t="s">
        <v>472</v>
      </c>
      <c r="C229" s="199" t="s">
        <v>27</v>
      </c>
      <c r="D229" s="200"/>
      <c r="E229" s="201">
        <v>4.715E7</v>
      </c>
      <c r="F229" s="200">
        <f t="shared" si="8"/>
        <v>595305485</v>
      </c>
      <c r="H229" s="226"/>
      <c r="I229" s="3"/>
      <c r="J229" s="227"/>
      <c r="K229" s="227"/>
      <c r="L229" s="227"/>
    </row>
    <row r="230" ht="16.5" customHeight="1">
      <c r="A230" s="246">
        <v>46017.0</v>
      </c>
      <c r="B230" s="247" t="s">
        <v>473</v>
      </c>
      <c r="C230" s="248" t="s">
        <v>471</v>
      </c>
      <c r="D230" s="249"/>
      <c r="E230" s="250">
        <v>2.8312E7</v>
      </c>
      <c r="F230" s="249">
        <f t="shared" si="8"/>
        <v>566993485</v>
      </c>
      <c r="H230" s="226"/>
      <c r="I230" s="3"/>
      <c r="J230" s="227"/>
      <c r="K230" s="227"/>
      <c r="L230" s="227"/>
    </row>
    <row r="231" ht="16.5" customHeight="1">
      <c r="A231" s="197">
        <v>46018.0</v>
      </c>
      <c r="B231" s="198" t="s">
        <v>466</v>
      </c>
      <c r="C231" s="199" t="s">
        <v>27</v>
      </c>
      <c r="D231" s="200"/>
      <c r="E231" s="201">
        <v>2950000.0</v>
      </c>
      <c r="F231" s="200">
        <f t="shared" si="8"/>
        <v>564043485</v>
      </c>
      <c r="H231" s="226"/>
      <c r="I231" s="3"/>
      <c r="J231" s="227"/>
      <c r="K231" s="227"/>
      <c r="L231" s="227"/>
    </row>
    <row r="232" ht="16.5" customHeight="1">
      <c r="A232" s="197">
        <v>46021.0</v>
      </c>
      <c r="B232" s="245" t="s">
        <v>474</v>
      </c>
      <c r="C232" s="199" t="s">
        <v>27</v>
      </c>
      <c r="D232" s="200"/>
      <c r="E232" s="201">
        <v>3.096E7</v>
      </c>
      <c r="F232" s="200">
        <f t="shared" si="8"/>
        <v>533083485</v>
      </c>
      <c r="H232" s="226"/>
      <c r="I232" s="3"/>
      <c r="J232" s="227"/>
      <c r="K232" s="227"/>
      <c r="L232" s="227"/>
    </row>
    <row r="233" ht="16.5" customHeight="1">
      <c r="A233" s="246">
        <v>46021.0</v>
      </c>
      <c r="B233" s="247" t="s">
        <v>475</v>
      </c>
      <c r="C233" s="248" t="s">
        <v>471</v>
      </c>
      <c r="D233" s="249"/>
      <c r="E233" s="250">
        <v>1112960.0</v>
      </c>
      <c r="F233" s="249">
        <f t="shared" si="8"/>
        <v>531970525</v>
      </c>
      <c r="H233" s="226"/>
      <c r="I233" s="3"/>
      <c r="J233" s="227"/>
      <c r="K233" s="227"/>
      <c r="L233" s="227"/>
    </row>
    <row r="234" ht="25.5" customHeight="1">
      <c r="A234" s="251" t="s">
        <v>476</v>
      </c>
      <c r="B234" s="237"/>
      <c r="C234" s="229" t="s">
        <v>477</v>
      </c>
      <c r="D234" s="230"/>
      <c r="E234" s="231"/>
      <c r="F234" s="230"/>
      <c r="H234" s="226"/>
      <c r="I234" s="3"/>
      <c r="J234" s="227"/>
      <c r="K234" s="227"/>
      <c r="L234" s="227"/>
    </row>
    <row r="235" ht="16.5" customHeight="1">
      <c r="A235" s="246">
        <v>46024.0</v>
      </c>
      <c r="B235" s="247" t="s">
        <v>324</v>
      </c>
      <c r="C235" s="248" t="s">
        <v>471</v>
      </c>
      <c r="D235" s="249"/>
      <c r="E235" s="250">
        <v>3017000.0</v>
      </c>
      <c r="F235" s="249">
        <f>F233+D235-E235</f>
        <v>528953525</v>
      </c>
      <c r="H235" s="226"/>
      <c r="I235" s="3"/>
      <c r="J235" s="227"/>
      <c r="K235" s="227"/>
      <c r="L235" s="227"/>
    </row>
    <row r="236" ht="16.5" customHeight="1">
      <c r="A236" s="197">
        <v>46025.0</v>
      </c>
      <c r="B236" s="198" t="s">
        <v>466</v>
      </c>
      <c r="C236" s="199" t="s">
        <v>27</v>
      </c>
      <c r="D236" s="200"/>
      <c r="E236" s="252">
        <v>6740000.0</v>
      </c>
      <c r="F236" s="200">
        <f t="shared" ref="F236:F300" si="9">F235+D236-E236</f>
        <v>522213525</v>
      </c>
      <c r="H236" s="226"/>
      <c r="I236" s="3"/>
      <c r="J236" s="227"/>
      <c r="K236" s="227"/>
      <c r="L236" s="227"/>
    </row>
    <row r="237" ht="16.5" customHeight="1">
      <c r="A237" s="253">
        <v>46027.0</v>
      </c>
      <c r="B237" s="254" t="s">
        <v>478</v>
      </c>
      <c r="C237" s="255" t="s">
        <v>471</v>
      </c>
      <c r="D237" s="249"/>
      <c r="E237" s="256">
        <v>1196300.0</v>
      </c>
      <c r="F237" s="249">
        <f t="shared" si="9"/>
        <v>521017225</v>
      </c>
      <c r="H237" s="226"/>
      <c r="I237" s="3"/>
      <c r="J237" s="227"/>
      <c r="K237" s="227"/>
      <c r="L237" s="227"/>
    </row>
    <row r="238" ht="16.5" customHeight="1">
      <c r="A238" s="257">
        <v>46027.0</v>
      </c>
      <c r="B238" s="245" t="s">
        <v>479</v>
      </c>
      <c r="C238" s="258" t="s">
        <v>27</v>
      </c>
      <c r="D238" s="200"/>
      <c r="E238" s="252">
        <v>1300000.0</v>
      </c>
      <c r="F238" s="200">
        <f t="shared" si="9"/>
        <v>519717225</v>
      </c>
      <c r="H238" s="226"/>
      <c r="I238" s="3"/>
      <c r="J238" s="227"/>
      <c r="K238" s="227"/>
      <c r="L238" s="227"/>
    </row>
    <row r="239" ht="16.5" customHeight="1">
      <c r="A239" s="257">
        <v>46027.0</v>
      </c>
      <c r="B239" s="245" t="s">
        <v>480</v>
      </c>
      <c r="C239" s="258" t="s">
        <v>27</v>
      </c>
      <c r="D239" s="200"/>
      <c r="E239" s="252">
        <v>5000000.0</v>
      </c>
      <c r="F239" s="200">
        <f t="shared" si="9"/>
        <v>514717225</v>
      </c>
      <c r="H239" s="226"/>
      <c r="I239" s="3"/>
      <c r="J239" s="227"/>
      <c r="K239" s="227"/>
      <c r="L239" s="227"/>
    </row>
    <row r="240" ht="16.5" customHeight="1">
      <c r="A240" s="253">
        <v>46027.0</v>
      </c>
      <c r="B240" s="254" t="s">
        <v>481</v>
      </c>
      <c r="C240" s="255" t="s">
        <v>471</v>
      </c>
      <c r="D240" s="249"/>
      <c r="E240" s="256">
        <v>2.0023E7</v>
      </c>
      <c r="F240" s="249">
        <f t="shared" si="9"/>
        <v>494694225</v>
      </c>
      <c r="H240" s="226"/>
      <c r="I240" s="3"/>
      <c r="J240" s="227"/>
      <c r="K240" s="227"/>
      <c r="L240" s="227"/>
    </row>
    <row r="241" ht="16.5" customHeight="1">
      <c r="A241" s="253">
        <v>46028.0</v>
      </c>
      <c r="B241" s="254" t="s">
        <v>482</v>
      </c>
      <c r="C241" s="255" t="s">
        <v>471</v>
      </c>
      <c r="D241" s="249"/>
      <c r="E241" s="256">
        <v>1785000.0</v>
      </c>
      <c r="F241" s="249">
        <f t="shared" si="9"/>
        <v>492909225</v>
      </c>
      <c r="H241" s="226"/>
      <c r="I241" s="3"/>
      <c r="J241" s="227"/>
      <c r="K241" s="227"/>
      <c r="L241" s="227"/>
    </row>
    <row r="242" ht="16.5" customHeight="1">
      <c r="A242" s="253">
        <v>46028.0</v>
      </c>
      <c r="B242" s="254" t="s">
        <v>483</v>
      </c>
      <c r="C242" s="255" t="s">
        <v>471</v>
      </c>
      <c r="D242" s="249"/>
      <c r="E242" s="256">
        <v>8203000.0</v>
      </c>
      <c r="F242" s="249">
        <f t="shared" si="9"/>
        <v>484706225</v>
      </c>
      <c r="H242" s="226"/>
      <c r="I242" s="3"/>
      <c r="J242" s="227"/>
      <c r="K242" s="227"/>
      <c r="L242" s="227"/>
    </row>
    <row r="243" ht="16.5" customHeight="1">
      <c r="A243" s="257">
        <v>46029.0</v>
      </c>
      <c r="B243" s="245" t="s">
        <v>484</v>
      </c>
      <c r="C243" s="258" t="s">
        <v>27</v>
      </c>
      <c r="D243" s="200"/>
      <c r="E243" s="252">
        <v>4.0E7</v>
      </c>
      <c r="F243" s="200">
        <f t="shared" si="9"/>
        <v>444706225</v>
      </c>
      <c r="H243" s="226"/>
      <c r="I243" s="3"/>
      <c r="J243" s="227"/>
      <c r="K243" s="227"/>
      <c r="L243" s="227"/>
    </row>
    <row r="244" ht="16.5" customHeight="1">
      <c r="A244" s="257">
        <v>46030.0</v>
      </c>
      <c r="B244" s="245" t="s">
        <v>485</v>
      </c>
      <c r="C244" s="258" t="s">
        <v>27</v>
      </c>
      <c r="D244" s="200"/>
      <c r="E244" s="252">
        <v>8362740.0</v>
      </c>
      <c r="F244" s="200">
        <f t="shared" si="9"/>
        <v>436343485</v>
      </c>
      <c r="H244" s="226"/>
      <c r="I244" s="3"/>
      <c r="J244" s="227"/>
      <c r="K244" s="227"/>
      <c r="L244" s="227"/>
    </row>
    <row r="245" ht="16.5" customHeight="1">
      <c r="A245" s="257">
        <v>46031.0</v>
      </c>
      <c r="B245" s="245" t="s">
        <v>486</v>
      </c>
      <c r="C245" s="258" t="s">
        <v>27</v>
      </c>
      <c r="D245" s="200"/>
      <c r="E245" s="252">
        <v>1357920.0</v>
      </c>
      <c r="F245" s="200">
        <f t="shared" si="9"/>
        <v>434985565</v>
      </c>
      <c r="H245" s="226"/>
      <c r="I245" s="3"/>
      <c r="J245" s="227"/>
      <c r="K245" s="227"/>
      <c r="L245" s="227"/>
    </row>
    <row r="246" ht="16.5" customHeight="1">
      <c r="A246" s="257">
        <v>46032.0</v>
      </c>
      <c r="B246" s="245" t="s">
        <v>487</v>
      </c>
      <c r="C246" s="258" t="s">
        <v>27</v>
      </c>
      <c r="D246" s="200"/>
      <c r="E246" s="252">
        <v>7500000.0</v>
      </c>
      <c r="F246" s="200">
        <f t="shared" si="9"/>
        <v>427485565</v>
      </c>
      <c r="H246" s="226"/>
      <c r="I246" s="3"/>
      <c r="J246" s="227"/>
      <c r="K246" s="227"/>
      <c r="L246" s="227"/>
    </row>
    <row r="247" ht="16.5" customHeight="1">
      <c r="A247" s="253">
        <v>46032.0</v>
      </c>
      <c r="B247" s="254" t="s">
        <v>488</v>
      </c>
      <c r="C247" s="255" t="s">
        <v>471</v>
      </c>
      <c r="D247" s="249"/>
      <c r="E247" s="256">
        <v>6000000.0</v>
      </c>
      <c r="F247" s="249">
        <f t="shared" si="9"/>
        <v>421485565</v>
      </c>
      <c r="H247" s="226"/>
      <c r="I247" s="3"/>
      <c r="J247" s="227"/>
      <c r="K247" s="227"/>
      <c r="L247" s="227"/>
    </row>
    <row r="248" ht="16.5" customHeight="1">
      <c r="A248" s="253">
        <v>46034.0</v>
      </c>
      <c r="B248" s="254" t="s">
        <v>489</v>
      </c>
      <c r="C248" s="255" t="s">
        <v>471</v>
      </c>
      <c r="D248" s="249"/>
      <c r="E248" s="256">
        <v>5800000.0</v>
      </c>
      <c r="F248" s="249">
        <f t="shared" si="9"/>
        <v>415685565</v>
      </c>
      <c r="H248" s="226"/>
      <c r="I248" s="3"/>
      <c r="J248" s="227"/>
      <c r="K248" s="227"/>
      <c r="L248" s="227"/>
    </row>
    <row r="249" ht="16.5" customHeight="1">
      <c r="A249" s="257">
        <v>46035.0</v>
      </c>
      <c r="B249" s="245" t="s">
        <v>490</v>
      </c>
      <c r="C249" s="258" t="s">
        <v>27</v>
      </c>
      <c r="D249" s="200"/>
      <c r="E249" s="252">
        <v>5.172E7</v>
      </c>
      <c r="F249" s="200">
        <f t="shared" si="9"/>
        <v>363965565</v>
      </c>
      <c r="H249" s="226"/>
      <c r="I249" s="3"/>
      <c r="J249" s="227"/>
      <c r="K249" s="227"/>
      <c r="L249" s="227"/>
    </row>
    <row r="250" ht="16.5" customHeight="1">
      <c r="A250" s="253">
        <v>46035.0</v>
      </c>
      <c r="B250" s="254" t="s">
        <v>491</v>
      </c>
      <c r="C250" s="255" t="s">
        <v>471</v>
      </c>
      <c r="D250" s="249"/>
      <c r="E250" s="256">
        <v>4935000.0</v>
      </c>
      <c r="F250" s="249">
        <f t="shared" si="9"/>
        <v>359030565</v>
      </c>
      <c r="H250" s="226"/>
      <c r="I250" s="3"/>
      <c r="J250" s="227"/>
      <c r="K250" s="227"/>
      <c r="L250" s="227"/>
    </row>
    <row r="251" ht="16.5" customHeight="1">
      <c r="A251" s="257">
        <v>46036.0</v>
      </c>
      <c r="B251" s="245" t="s">
        <v>492</v>
      </c>
      <c r="C251" s="258" t="s">
        <v>27</v>
      </c>
      <c r="D251" s="200"/>
      <c r="E251" s="252">
        <v>1775000.0</v>
      </c>
      <c r="F251" s="200">
        <f t="shared" si="9"/>
        <v>357255565</v>
      </c>
      <c r="H251" s="226"/>
      <c r="I251" s="3"/>
      <c r="J251" s="227"/>
      <c r="K251" s="227"/>
      <c r="L251" s="227"/>
    </row>
    <row r="252" ht="16.5" customHeight="1">
      <c r="A252" s="253">
        <v>46035.0</v>
      </c>
      <c r="B252" s="254" t="s">
        <v>493</v>
      </c>
      <c r="C252" s="255" t="s">
        <v>471</v>
      </c>
      <c r="D252" s="249"/>
      <c r="E252" s="256">
        <v>3.06E7</v>
      </c>
      <c r="F252" s="249">
        <f t="shared" si="9"/>
        <v>326655565</v>
      </c>
      <c r="H252" s="226"/>
      <c r="I252" s="3"/>
      <c r="J252" s="227"/>
      <c r="K252" s="227"/>
      <c r="L252" s="227"/>
    </row>
    <row r="253" ht="16.5" customHeight="1">
      <c r="A253" s="253">
        <v>46035.0</v>
      </c>
      <c r="B253" s="254" t="s">
        <v>494</v>
      </c>
      <c r="C253" s="255" t="s">
        <v>471</v>
      </c>
      <c r="D253" s="249"/>
      <c r="E253" s="256">
        <v>1.6733E7</v>
      </c>
      <c r="F253" s="249">
        <f t="shared" si="9"/>
        <v>309922565</v>
      </c>
      <c r="H253" s="226"/>
      <c r="I253" s="3"/>
      <c r="J253" s="227"/>
      <c r="K253" s="227"/>
      <c r="L253" s="227"/>
    </row>
    <row r="254" ht="16.5" customHeight="1">
      <c r="A254" s="257">
        <v>46036.0</v>
      </c>
      <c r="B254" s="245" t="s">
        <v>495</v>
      </c>
      <c r="C254" s="258" t="s">
        <v>27</v>
      </c>
      <c r="D254" s="200"/>
      <c r="E254" s="252">
        <v>3542764.0</v>
      </c>
      <c r="F254" s="200">
        <f t="shared" si="9"/>
        <v>306379801</v>
      </c>
      <c r="H254" s="226"/>
      <c r="I254" s="3"/>
      <c r="J254" s="227"/>
      <c r="K254" s="227"/>
      <c r="L254" s="227"/>
    </row>
    <row r="255" ht="16.5" customHeight="1">
      <c r="A255" s="257">
        <v>46036.0</v>
      </c>
      <c r="B255" s="245" t="s">
        <v>496</v>
      </c>
      <c r="C255" s="258" t="s">
        <v>27</v>
      </c>
      <c r="D255" s="200"/>
      <c r="E255" s="252">
        <v>2.5E7</v>
      </c>
      <c r="F255" s="200">
        <f t="shared" si="9"/>
        <v>281379801</v>
      </c>
      <c r="H255" s="226"/>
      <c r="I255" s="3"/>
      <c r="J255" s="227"/>
      <c r="K255" s="227"/>
      <c r="L255" s="227"/>
    </row>
    <row r="256" ht="16.5" customHeight="1">
      <c r="A256" s="257">
        <v>46036.0</v>
      </c>
      <c r="B256" s="245" t="s">
        <v>497</v>
      </c>
      <c r="C256" s="258" t="s">
        <v>27</v>
      </c>
      <c r="D256" s="200"/>
      <c r="E256" s="252">
        <v>1000000.0</v>
      </c>
      <c r="F256" s="200">
        <f t="shared" si="9"/>
        <v>280379801</v>
      </c>
      <c r="H256" s="226"/>
      <c r="I256" s="3"/>
      <c r="J256" s="227"/>
      <c r="K256" s="227"/>
      <c r="L256" s="227"/>
    </row>
    <row r="257" ht="16.5" customHeight="1">
      <c r="A257" s="257">
        <v>46036.0</v>
      </c>
      <c r="B257" s="245" t="s">
        <v>492</v>
      </c>
      <c r="C257" s="258" t="s">
        <v>27</v>
      </c>
      <c r="D257" s="200"/>
      <c r="E257" s="252">
        <v>1165000.0</v>
      </c>
      <c r="F257" s="200">
        <f t="shared" si="9"/>
        <v>279214801</v>
      </c>
      <c r="H257" s="226"/>
      <c r="I257" s="3"/>
      <c r="J257" s="227"/>
      <c r="K257" s="227"/>
      <c r="L257" s="227"/>
    </row>
    <row r="258" ht="16.5" customHeight="1">
      <c r="A258" s="253">
        <v>46036.0</v>
      </c>
      <c r="B258" s="254" t="s">
        <v>498</v>
      </c>
      <c r="C258" s="255" t="s">
        <v>471</v>
      </c>
      <c r="D258" s="249"/>
      <c r="E258" s="256">
        <v>3000000.0</v>
      </c>
      <c r="F258" s="249">
        <f t="shared" si="9"/>
        <v>276214801</v>
      </c>
      <c r="H258" s="226"/>
      <c r="I258" s="3"/>
      <c r="J258" s="227"/>
      <c r="K258" s="227"/>
      <c r="L258" s="227"/>
    </row>
    <row r="259" ht="16.5" customHeight="1">
      <c r="A259" s="238">
        <v>46037.0</v>
      </c>
      <c r="B259" s="239" t="s">
        <v>451</v>
      </c>
      <c r="C259" s="240"/>
      <c r="D259" s="242">
        <f>140000*13150</f>
        <v>1841000000</v>
      </c>
      <c r="E259" s="241"/>
      <c r="F259" s="242">
        <f t="shared" si="9"/>
        <v>2117214801</v>
      </c>
      <c r="H259" s="226"/>
      <c r="I259" s="3"/>
      <c r="J259" s="227"/>
      <c r="K259" s="227"/>
      <c r="L259" s="227"/>
    </row>
    <row r="260" ht="16.5" customHeight="1">
      <c r="A260" s="197">
        <v>46037.0</v>
      </c>
      <c r="B260" s="198" t="s">
        <v>499</v>
      </c>
      <c r="C260" s="199" t="s">
        <v>27</v>
      </c>
      <c r="D260" s="200"/>
      <c r="E260" s="201">
        <v>2.25E8</v>
      </c>
      <c r="F260" s="200">
        <f t="shared" si="9"/>
        <v>1892214801</v>
      </c>
      <c r="H260" s="226"/>
      <c r="I260" s="3"/>
      <c r="J260" s="227"/>
      <c r="K260" s="227"/>
      <c r="L260" s="227"/>
    </row>
    <row r="261" ht="16.5" customHeight="1">
      <c r="A261" s="197">
        <v>46037.0</v>
      </c>
      <c r="B261" s="198" t="s">
        <v>500</v>
      </c>
      <c r="C261" s="199" t="s">
        <v>27</v>
      </c>
      <c r="D261" s="200"/>
      <c r="E261" s="201">
        <v>1.2E8</v>
      </c>
      <c r="F261" s="200">
        <f t="shared" si="9"/>
        <v>1772214801</v>
      </c>
      <c r="H261" s="226"/>
      <c r="I261" s="3"/>
      <c r="J261" s="227"/>
      <c r="K261" s="227"/>
      <c r="L261" s="227"/>
    </row>
    <row r="262" ht="16.5" customHeight="1">
      <c r="A262" s="253">
        <v>46038.0</v>
      </c>
      <c r="B262" s="254" t="s">
        <v>501</v>
      </c>
      <c r="C262" s="255" t="s">
        <v>471</v>
      </c>
      <c r="D262" s="249"/>
      <c r="E262" s="256">
        <v>1740000.0</v>
      </c>
      <c r="F262" s="249">
        <f t="shared" si="9"/>
        <v>1770474801</v>
      </c>
      <c r="H262" s="226"/>
      <c r="I262" s="3"/>
      <c r="J262" s="227"/>
      <c r="K262" s="227"/>
      <c r="L262" s="227"/>
    </row>
    <row r="263" ht="16.5" customHeight="1">
      <c r="A263" s="257">
        <v>46038.0</v>
      </c>
      <c r="B263" s="245" t="s">
        <v>502</v>
      </c>
      <c r="C263" s="258" t="s">
        <v>27</v>
      </c>
      <c r="D263" s="200"/>
      <c r="E263" s="252">
        <v>1.0E8</v>
      </c>
      <c r="F263" s="200">
        <f t="shared" si="9"/>
        <v>1670474801</v>
      </c>
      <c r="H263" s="226"/>
      <c r="I263" s="3"/>
      <c r="J263" s="227"/>
      <c r="K263" s="227"/>
      <c r="L263" s="227"/>
    </row>
    <row r="264" ht="16.5" customHeight="1">
      <c r="A264" s="257">
        <v>46039.0</v>
      </c>
      <c r="B264" s="245" t="s">
        <v>503</v>
      </c>
      <c r="C264" s="258" t="s">
        <v>27</v>
      </c>
      <c r="D264" s="200"/>
      <c r="E264" s="252">
        <v>710000.0</v>
      </c>
      <c r="F264" s="200">
        <f t="shared" si="9"/>
        <v>1669764801</v>
      </c>
      <c r="H264" s="226"/>
      <c r="I264" s="3"/>
      <c r="J264" s="227"/>
      <c r="K264" s="227"/>
      <c r="L264" s="227"/>
    </row>
    <row r="265" ht="16.5" customHeight="1">
      <c r="A265" s="257">
        <v>46039.0</v>
      </c>
      <c r="B265" s="245" t="s">
        <v>487</v>
      </c>
      <c r="C265" s="258" t="s">
        <v>27</v>
      </c>
      <c r="D265" s="200"/>
      <c r="E265" s="252">
        <v>7800000.0</v>
      </c>
      <c r="F265" s="200">
        <f t="shared" si="9"/>
        <v>1661964801</v>
      </c>
      <c r="H265" s="226"/>
      <c r="I265" s="3"/>
      <c r="J265" s="227"/>
      <c r="K265" s="227"/>
      <c r="L265" s="227"/>
    </row>
    <row r="266" ht="16.5" customHeight="1">
      <c r="A266" s="253">
        <v>46039.0</v>
      </c>
      <c r="B266" s="254" t="s">
        <v>504</v>
      </c>
      <c r="C266" s="255" t="s">
        <v>471</v>
      </c>
      <c r="D266" s="249"/>
      <c r="E266" s="256">
        <v>6730000.0</v>
      </c>
      <c r="F266" s="249">
        <f t="shared" si="9"/>
        <v>1655234801</v>
      </c>
      <c r="H266" s="226"/>
      <c r="I266" s="3"/>
      <c r="J266" s="227"/>
      <c r="K266" s="227"/>
      <c r="L266" s="227"/>
    </row>
    <row r="267" ht="16.5" customHeight="1">
      <c r="A267" s="253">
        <v>46040.0</v>
      </c>
      <c r="B267" s="254" t="s">
        <v>505</v>
      </c>
      <c r="C267" s="255" t="s">
        <v>471</v>
      </c>
      <c r="D267" s="249"/>
      <c r="E267" s="256">
        <v>1626440.0</v>
      </c>
      <c r="F267" s="249">
        <f t="shared" si="9"/>
        <v>1653608361</v>
      </c>
      <c r="H267" s="226"/>
      <c r="I267" s="3"/>
      <c r="J267" s="227"/>
      <c r="K267" s="227"/>
      <c r="L267" s="227"/>
    </row>
    <row r="268" ht="16.5" customHeight="1">
      <c r="A268" s="253">
        <v>46041.0</v>
      </c>
      <c r="B268" s="254" t="s">
        <v>506</v>
      </c>
      <c r="C268" s="255" t="s">
        <v>471</v>
      </c>
      <c r="D268" s="249"/>
      <c r="E268" s="256">
        <v>1759320.0</v>
      </c>
      <c r="F268" s="249">
        <f t="shared" si="9"/>
        <v>1651849041</v>
      </c>
      <c r="H268" s="226"/>
      <c r="I268" s="3"/>
      <c r="J268" s="227"/>
      <c r="K268" s="227"/>
      <c r="L268" s="227"/>
    </row>
    <row r="269" ht="16.5" customHeight="1">
      <c r="A269" s="253">
        <v>46041.0</v>
      </c>
      <c r="B269" s="254" t="s">
        <v>507</v>
      </c>
      <c r="C269" s="255" t="s">
        <v>471</v>
      </c>
      <c r="D269" s="249"/>
      <c r="E269" s="256">
        <v>1115700.0</v>
      </c>
      <c r="F269" s="249">
        <f t="shared" si="9"/>
        <v>1650733341</v>
      </c>
      <c r="H269" s="226"/>
      <c r="I269" s="3"/>
      <c r="J269" s="227"/>
      <c r="K269" s="227"/>
      <c r="L269" s="227"/>
    </row>
    <row r="270" ht="16.5" customHeight="1">
      <c r="A270" s="253">
        <v>46041.0</v>
      </c>
      <c r="B270" s="254" t="s">
        <v>507</v>
      </c>
      <c r="C270" s="255" t="s">
        <v>471</v>
      </c>
      <c r="D270" s="249"/>
      <c r="E270" s="256">
        <v>1224740.0</v>
      </c>
      <c r="F270" s="249">
        <f t="shared" si="9"/>
        <v>1649508601</v>
      </c>
      <c r="H270" s="226"/>
      <c r="I270" s="3"/>
      <c r="J270" s="227"/>
      <c r="K270" s="227"/>
      <c r="L270" s="227"/>
    </row>
    <row r="271" ht="16.5" customHeight="1">
      <c r="A271" s="253">
        <v>46041.0</v>
      </c>
      <c r="B271" s="254" t="s">
        <v>507</v>
      </c>
      <c r="C271" s="255" t="s">
        <v>471</v>
      </c>
      <c r="D271" s="249"/>
      <c r="E271" s="256">
        <v>540400.0</v>
      </c>
      <c r="F271" s="249">
        <f t="shared" si="9"/>
        <v>1648968201</v>
      </c>
      <c r="H271" s="226"/>
      <c r="I271" s="3"/>
      <c r="J271" s="227"/>
      <c r="K271" s="227"/>
      <c r="L271" s="227"/>
    </row>
    <row r="272" ht="16.5" customHeight="1">
      <c r="A272" s="253">
        <v>46041.0</v>
      </c>
      <c r="B272" s="254" t="s">
        <v>508</v>
      </c>
      <c r="C272" s="255" t="s">
        <v>471</v>
      </c>
      <c r="D272" s="249"/>
      <c r="E272" s="256">
        <v>1027400.0</v>
      </c>
      <c r="F272" s="249">
        <f t="shared" si="9"/>
        <v>1647940801</v>
      </c>
      <c r="H272" s="226"/>
      <c r="I272" s="3"/>
      <c r="J272" s="227"/>
      <c r="K272" s="227"/>
      <c r="L272" s="227"/>
    </row>
    <row r="273" ht="16.5" customHeight="1">
      <c r="A273" s="253">
        <v>46042.0</v>
      </c>
      <c r="B273" s="254" t="s">
        <v>509</v>
      </c>
      <c r="C273" s="255" t="s">
        <v>471</v>
      </c>
      <c r="D273" s="249"/>
      <c r="E273" s="256">
        <v>475000.0</v>
      </c>
      <c r="F273" s="249">
        <f t="shared" si="9"/>
        <v>1647465801</v>
      </c>
      <c r="H273" s="226"/>
      <c r="I273" s="3"/>
      <c r="J273" s="227"/>
      <c r="K273" s="227"/>
      <c r="L273" s="227"/>
    </row>
    <row r="274" ht="16.5" customHeight="1">
      <c r="A274" s="253">
        <v>46042.0</v>
      </c>
      <c r="B274" s="254" t="s">
        <v>501</v>
      </c>
      <c r="C274" s="255" t="s">
        <v>471</v>
      </c>
      <c r="D274" s="249"/>
      <c r="E274" s="256">
        <v>1500000.0</v>
      </c>
      <c r="F274" s="249">
        <f t="shared" si="9"/>
        <v>1645965801</v>
      </c>
      <c r="H274" s="226"/>
      <c r="I274" s="3"/>
      <c r="J274" s="227"/>
      <c r="K274" s="227"/>
      <c r="L274" s="227"/>
    </row>
    <row r="275" ht="16.5" customHeight="1">
      <c r="A275" s="257">
        <v>46043.0</v>
      </c>
      <c r="B275" s="245" t="s">
        <v>510</v>
      </c>
      <c r="C275" s="258" t="s">
        <v>27</v>
      </c>
      <c r="D275" s="200"/>
      <c r="E275" s="252">
        <v>1.0377795E7</v>
      </c>
      <c r="F275" s="200">
        <f t="shared" si="9"/>
        <v>1635588006</v>
      </c>
      <c r="H275" s="226"/>
      <c r="I275" s="3"/>
      <c r="J275" s="227"/>
      <c r="K275" s="227"/>
      <c r="L275" s="227"/>
    </row>
    <row r="276" ht="16.5" customHeight="1">
      <c r="A276" s="253">
        <v>46043.0</v>
      </c>
      <c r="B276" s="254" t="s">
        <v>510</v>
      </c>
      <c r="C276" s="255" t="s">
        <v>471</v>
      </c>
      <c r="D276" s="249"/>
      <c r="E276" s="256">
        <v>1892537.0</v>
      </c>
      <c r="F276" s="249">
        <f t="shared" si="9"/>
        <v>1633695469</v>
      </c>
      <c r="H276" s="226"/>
      <c r="I276" s="3"/>
      <c r="J276" s="227"/>
      <c r="K276" s="227"/>
      <c r="L276" s="227"/>
    </row>
    <row r="277" ht="16.5" customHeight="1">
      <c r="A277" s="257">
        <v>46043.0</v>
      </c>
      <c r="B277" s="245" t="s">
        <v>511</v>
      </c>
      <c r="C277" s="258" t="s">
        <v>27</v>
      </c>
      <c r="D277" s="200"/>
      <c r="E277" s="252">
        <v>7848360.0</v>
      </c>
      <c r="F277" s="200">
        <f t="shared" si="9"/>
        <v>1625847109</v>
      </c>
      <c r="H277" s="226"/>
      <c r="I277" s="3"/>
      <c r="J277" s="227"/>
      <c r="K277" s="227"/>
      <c r="L277" s="227"/>
    </row>
    <row r="278" ht="16.5" customHeight="1">
      <c r="A278" s="257">
        <v>46043.0</v>
      </c>
      <c r="B278" s="245" t="s">
        <v>512</v>
      </c>
      <c r="C278" s="258" t="s">
        <v>27</v>
      </c>
      <c r="D278" s="200"/>
      <c r="E278" s="252">
        <v>357480.0</v>
      </c>
      <c r="F278" s="200">
        <f t="shared" si="9"/>
        <v>1625489629</v>
      </c>
      <c r="H278" s="226"/>
      <c r="I278" s="3"/>
      <c r="J278" s="227"/>
      <c r="K278" s="227"/>
      <c r="L278" s="227"/>
    </row>
    <row r="279" ht="16.5" customHeight="1">
      <c r="A279" s="259">
        <v>46045.0</v>
      </c>
      <c r="B279" s="260" t="s">
        <v>513</v>
      </c>
      <c r="C279" s="261" t="s">
        <v>58</v>
      </c>
      <c r="D279" s="221"/>
      <c r="E279" s="207">
        <v>799000.0</v>
      </c>
      <c r="F279" s="221">
        <f t="shared" si="9"/>
        <v>1624690629</v>
      </c>
      <c r="H279" s="226"/>
      <c r="I279" s="3"/>
      <c r="J279" s="227"/>
      <c r="K279" s="227"/>
      <c r="L279" s="227"/>
    </row>
    <row r="280" ht="16.5" customHeight="1">
      <c r="A280" s="262">
        <v>46045.0</v>
      </c>
      <c r="B280" s="263" t="s">
        <v>514</v>
      </c>
      <c r="C280" s="264" t="s">
        <v>177</v>
      </c>
      <c r="D280" s="265"/>
      <c r="E280" s="168">
        <v>418400.0</v>
      </c>
      <c r="F280" s="265">
        <f t="shared" si="9"/>
        <v>1624272229</v>
      </c>
      <c r="H280" s="226"/>
      <c r="I280" s="3"/>
      <c r="J280" s="227"/>
      <c r="K280" s="227"/>
      <c r="L280" s="227"/>
    </row>
    <row r="281" ht="16.5" customHeight="1">
      <c r="A281" s="253">
        <v>46046.0</v>
      </c>
      <c r="B281" s="254" t="s">
        <v>478</v>
      </c>
      <c r="C281" s="255" t="s">
        <v>471</v>
      </c>
      <c r="D281" s="249"/>
      <c r="E281" s="256">
        <v>124510.0</v>
      </c>
      <c r="F281" s="249">
        <f t="shared" si="9"/>
        <v>1624147719</v>
      </c>
      <c r="H281" s="226"/>
      <c r="I281" s="3"/>
      <c r="J281" s="227"/>
      <c r="K281" s="227"/>
      <c r="L281" s="227"/>
    </row>
    <row r="282" ht="16.5" customHeight="1">
      <c r="A282" s="253">
        <v>46046.0</v>
      </c>
      <c r="B282" s="254" t="s">
        <v>515</v>
      </c>
      <c r="C282" s="255" t="s">
        <v>471</v>
      </c>
      <c r="D282" s="249"/>
      <c r="E282" s="256">
        <v>1.1007826E7</v>
      </c>
      <c r="F282" s="249">
        <f t="shared" si="9"/>
        <v>1613139893</v>
      </c>
      <c r="H282" s="226"/>
      <c r="I282" s="3"/>
      <c r="J282" s="227"/>
      <c r="K282" s="227"/>
      <c r="L282" s="227"/>
    </row>
    <row r="283" ht="16.5" customHeight="1">
      <c r="A283" s="253">
        <v>46047.0</v>
      </c>
      <c r="B283" s="254" t="s">
        <v>516</v>
      </c>
      <c r="C283" s="255" t="s">
        <v>471</v>
      </c>
      <c r="D283" s="249"/>
      <c r="E283" s="256">
        <v>6990000.0</v>
      </c>
      <c r="F283" s="249">
        <f t="shared" si="9"/>
        <v>1606149893</v>
      </c>
      <c r="H283" s="226"/>
      <c r="I283" s="3"/>
      <c r="J283" s="227"/>
      <c r="K283" s="227"/>
      <c r="L283" s="227"/>
    </row>
    <row r="284" ht="16.5" customHeight="1">
      <c r="A284" s="253">
        <v>46048.0</v>
      </c>
      <c r="B284" s="254" t="s">
        <v>517</v>
      </c>
      <c r="C284" s="255" t="s">
        <v>471</v>
      </c>
      <c r="D284" s="249"/>
      <c r="E284" s="256">
        <v>538435.0</v>
      </c>
      <c r="F284" s="249">
        <f t="shared" si="9"/>
        <v>1605611458</v>
      </c>
      <c r="H284" s="226"/>
      <c r="I284" s="3"/>
      <c r="J284" s="227"/>
      <c r="K284" s="227"/>
      <c r="L284" s="227"/>
    </row>
    <row r="285" ht="16.5" customHeight="1">
      <c r="A285" s="262">
        <v>46048.0</v>
      </c>
      <c r="B285" s="263" t="s">
        <v>518</v>
      </c>
      <c r="C285" s="264" t="s">
        <v>177</v>
      </c>
      <c r="D285" s="265"/>
      <c r="E285" s="168">
        <v>1140700.0</v>
      </c>
      <c r="F285" s="265">
        <f t="shared" si="9"/>
        <v>1604470758</v>
      </c>
      <c r="H285" s="226"/>
      <c r="I285" s="3"/>
      <c r="J285" s="227"/>
      <c r="K285" s="227"/>
      <c r="L285" s="227"/>
    </row>
    <row r="286" ht="16.5" customHeight="1">
      <c r="A286" s="253">
        <v>46048.0</v>
      </c>
      <c r="B286" s="254" t="s">
        <v>519</v>
      </c>
      <c r="C286" s="255" t="s">
        <v>471</v>
      </c>
      <c r="D286" s="249"/>
      <c r="E286" s="256">
        <v>3578000.0</v>
      </c>
      <c r="F286" s="249">
        <f t="shared" si="9"/>
        <v>1600892758</v>
      </c>
      <c r="H286" s="226"/>
      <c r="I286" s="3"/>
      <c r="J286" s="227"/>
      <c r="K286" s="227"/>
      <c r="L286" s="227"/>
    </row>
    <row r="287" ht="16.5" customHeight="1">
      <c r="A287" s="253">
        <v>46048.0</v>
      </c>
      <c r="B287" s="254" t="s">
        <v>520</v>
      </c>
      <c r="C287" s="255" t="s">
        <v>471</v>
      </c>
      <c r="D287" s="249"/>
      <c r="E287" s="256">
        <v>1455349.0</v>
      </c>
      <c r="F287" s="249">
        <f t="shared" si="9"/>
        <v>1599437409</v>
      </c>
      <c r="H287" s="226"/>
      <c r="I287" s="3"/>
      <c r="J287" s="227"/>
      <c r="K287" s="227"/>
      <c r="L287" s="227"/>
    </row>
    <row r="288" ht="16.5" customHeight="1">
      <c r="A288" s="257">
        <v>46048.0</v>
      </c>
      <c r="B288" s="245" t="s">
        <v>521</v>
      </c>
      <c r="C288" s="258" t="s">
        <v>27</v>
      </c>
      <c r="D288" s="200"/>
      <c r="E288" s="252">
        <v>8.959368E7</v>
      </c>
      <c r="F288" s="200">
        <f t="shared" si="9"/>
        <v>1509843729</v>
      </c>
      <c r="H288" s="226"/>
      <c r="I288" s="3"/>
      <c r="J288" s="227"/>
      <c r="K288" s="227"/>
      <c r="L288" s="227"/>
    </row>
    <row r="289" ht="16.5" customHeight="1">
      <c r="A289" s="253">
        <v>46048.0</v>
      </c>
      <c r="B289" s="254" t="s">
        <v>522</v>
      </c>
      <c r="C289" s="255" t="s">
        <v>471</v>
      </c>
      <c r="D289" s="249"/>
      <c r="E289" s="256">
        <v>6100000.0</v>
      </c>
      <c r="F289" s="249">
        <f t="shared" si="9"/>
        <v>1503743729</v>
      </c>
      <c r="H289" s="226"/>
      <c r="I289" s="3"/>
      <c r="J289" s="227"/>
      <c r="K289" s="227"/>
      <c r="L289" s="227"/>
    </row>
    <row r="290" ht="16.5" customHeight="1">
      <c r="A290" s="253">
        <v>46048.0</v>
      </c>
      <c r="B290" s="254" t="s">
        <v>523</v>
      </c>
      <c r="C290" s="255" t="s">
        <v>471</v>
      </c>
      <c r="D290" s="249"/>
      <c r="E290" s="256">
        <v>263280.0</v>
      </c>
      <c r="F290" s="249">
        <f t="shared" si="9"/>
        <v>1503480449</v>
      </c>
      <c r="H290" s="226"/>
      <c r="I290" s="3"/>
      <c r="J290" s="227"/>
      <c r="K290" s="227"/>
      <c r="L290" s="227"/>
    </row>
    <row r="291" ht="16.5" customHeight="1">
      <c r="A291" s="257">
        <v>46049.0</v>
      </c>
      <c r="B291" s="245" t="s">
        <v>524</v>
      </c>
      <c r="C291" s="258" t="s">
        <v>27</v>
      </c>
      <c r="D291" s="200"/>
      <c r="E291" s="252">
        <v>4.0E8</v>
      </c>
      <c r="F291" s="200">
        <f t="shared" si="9"/>
        <v>1103480449</v>
      </c>
      <c r="H291" s="226"/>
      <c r="I291" s="3"/>
      <c r="J291" s="227"/>
      <c r="K291" s="227"/>
      <c r="L291" s="227"/>
    </row>
    <row r="292" ht="16.5" customHeight="1">
      <c r="A292" s="253">
        <v>46049.0</v>
      </c>
      <c r="B292" s="254" t="s">
        <v>525</v>
      </c>
      <c r="C292" s="255" t="s">
        <v>471</v>
      </c>
      <c r="D292" s="249"/>
      <c r="E292" s="256">
        <v>8000000.0</v>
      </c>
      <c r="F292" s="249">
        <f t="shared" si="9"/>
        <v>1095480449</v>
      </c>
      <c r="H292" s="226"/>
      <c r="I292" s="3"/>
      <c r="J292" s="227"/>
      <c r="K292" s="227"/>
      <c r="L292" s="227"/>
    </row>
    <row r="293" ht="16.5" customHeight="1">
      <c r="A293" s="253">
        <v>46049.0</v>
      </c>
      <c r="B293" s="254" t="s">
        <v>526</v>
      </c>
      <c r="C293" s="255" t="s">
        <v>471</v>
      </c>
      <c r="D293" s="249"/>
      <c r="E293" s="256">
        <v>3000000.0</v>
      </c>
      <c r="F293" s="249">
        <f t="shared" si="9"/>
        <v>1092480449</v>
      </c>
      <c r="H293" s="226"/>
      <c r="I293" s="3"/>
      <c r="J293" s="227"/>
      <c r="K293" s="227"/>
      <c r="L293" s="227"/>
    </row>
    <row r="294" ht="16.5" customHeight="1">
      <c r="A294" s="253">
        <v>46049.0</v>
      </c>
      <c r="B294" s="254" t="s">
        <v>527</v>
      </c>
      <c r="C294" s="255" t="s">
        <v>471</v>
      </c>
      <c r="D294" s="249"/>
      <c r="E294" s="256">
        <v>1.0735E7</v>
      </c>
      <c r="F294" s="249">
        <f t="shared" si="9"/>
        <v>1081745449</v>
      </c>
      <c r="H294" s="226"/>
      <c r="I294" s="3"/>
      <c r="J294" s="227"/>
      <c r="K294" s="227"/>
      <c r="L294" s="227"/>
    </row>
    <row r="295" ht="16.5" customHeight="1">
      <c r="A295" s="253">
        <v>46050.0</v>
      </c>
      <c r="B295" s="254" t="s">
        <v>528</v>
      </c>
      <c r="C295" s="255" t="s">
        <v>471</v>
      </c>
      <c r="D295" s="249"/>
      <c r="E295" s="256">
        <v>2000000.0</v>
      </c>
      <c r="F295" s="249">
        <f t="shared" si="9"/>
        <v>1079745449</v>
      </c>
      <c r="H295" s="226"/>
      <c r="I295" s="3"/>
      <c r="J295" s="227"/>
      <c r="K295" s="227"/>
      <c r="L295" s="227"/>
    </row>
    <row r="296" ht="16.5" customHeight="1">
      <c r="A296" s="253">
        <v>46052.0</v>
      </c>
      <c r="B296" s="254" t="s">
        <v>529</v>
      </c>
      <c r="C296" s="255" t="s">
        <v>471</v>
      </c>
      <c r="D296" s="249"/>
      <c r="E296" s="256">
        <v>1000000.0</v>
      </c>
      <c r="F296" s="249">
        <f t="shared" si="9"/>
        <v>1078745449</v>
      </c>
      <c r="H296" s="226"/>
      <c r="I296" s="3"/>
      <c r="J296" s="227"/>
      <c r="K296" s="227"/>
      <c r="L296" s="227"/>
    </row>
    <row r="297" ht="16.5" customHeight="1">
      <c r="A297" s="253">
        <v>46053.0</v>
      </c>
      <c r="B297" s="254" t="s">
        <v>530</v>
      </c>
      <c r="C297" s="255" t="s">
        <v>471</v>
      </c>
      <c r="D297" s="249"/>
      <c r="E297" s="256">
        <v>1497500.0</v>
      </c>
      <c r="F297" s="249">
        <f t="shared" si="9"/>
        <v>1077247949</v>
      </c>
      <c r="H297" s="226"/>
      <c r="I297" s="3"/>
      <c r="J297" s="227"/>
      <c r="K297" s="227"/>
      <c r="L297" s="227"/>
    </row>
    <row r="298" ht="16.5" customHeight="1">
      <c r="A298" s="253">
        <v>46053.0</v>
      </c>
      <c r="B298" s="254" t="s">
        <v>531</v>
      </c>
      <c r="C298" s="255" t="s">
        <v>471</v>
      </c>
      <c r="D298" s="249"/>
      <c r="E298" s="256">
        <v>5600075.0</v>
      </c>
      <c r="F298" s="249">
        <f t="shared" si="9"/>
        <v>1071647874</v>
      </c>
      <c r="H298" s="226"/>
      <c r="I298" s="3"/>
      <c r="J298" s="227"/>
      <c r="K298" s="227"/>
      <c r="L298" s="227"/>
    </row>
    <row r="299" ht="16.5" customHeight="1">
      <c r="A299" s="257">
        <v>46053.0</v>
      </c>
      <c r="B299" s="245" t="s">
        <v>532</v>
      </c>
      <c r="C299" s="258" t="s">
        <v>27</v>
      </c>
      <c r="D299" s="200"/>
      <c r="E299" s="252">
        <v>2500000.0</v>
      </c>
      <c r="F299" s="200">
        <f t="shared" si="9"/>
        <v>1069147874</v>
      </c>
      <c r="H299" s="226"/>
      <c r="I299" s="3"/>
      <c r="J299" s="227"/>
      <c r="K299" s="227"/>
      <c r="L299" s="227"/>
    </row>
    <row r="300" ht="16.5" customHeight="1">
      <c r="A300" s="257">
        <v>46053.0</v>
      </c>
      <c r="B300" s="245" t="s">
        <v>487</v>
      </c>
      <c r="C300" s="258" t="s">
        <v>27</v>
      </c>
      <c r="D300" s="200"/>
      <c r="E300" s="252">
        <v>4540000.0</v>
      </c>
      <c r="F300" s="200">
        <f t="shared" si="9"/>
        <v>1064607874</v>
      </c>
      <c r="H300" s="226"/>
      <c r="I300" s="3"/>
      <c r="J300" s="227"/>
      <c r="K300" s="227"/>
      <c r="L300" s="227"/>
    </row>
    <row r="301" ht="16.5" customHeight="1">
      <c r="A301" s="266"/>
      <c r="B301" s="267"/>
      <c r="C301" s="229"/>
      <c r="D301" s="230"/>
      <c r="E301" s="268"/>
      <c r="F301" s="230"/>
      <c r="H301" s="226"/>
      <c r="I301" s="3"/>
      <c r="J301" s="227"/>
      <c r="K301" s="227"/>
      <c r="L301" s="227"/>
    </row>
    <row r="302" ht="16.5" customHeight="1">
      <c r="A302" s="253">
        <v>46054.0</v>
      </c>
      <c r="B302" s="254" t="s">
        <v>533</v>
      </c>
      <c r="C302" s="255" t="s">
        <v>471</v>
      </c>
      <c r="D302" s="249"/>
      <c r="E302" s="256">
        <v>1443000.0</v>
      </c>
      <c r="F302" s="249">
        <f>F300+D302-E302</f>
        <v>1063164874</v>
      </c>
      <c r="H302" s="226"/>
      <c r="I302" s="3"/>
      <c r="J302" s="227"/>
      <c r="K302" s="227"/>
      <c r="L302" s="227"/>
    </row>
    <row r="303" ht="16.5" customHeight="1">
      <c r="A303" s="257">
        <v>46055.0</v>
      </c>
      <c r="B303" s="245" t="s">
        <v>534</v>
      </c>
      <c r="C303" s="258" t="s">
        <v>27</v>
      </c>
      <c r="D303" s="200"/>
      <c r="E303" s="252">
        <v>5.0E7</v>
      </c>
      <c r="F303" s="200">
        <f t="shared" ref="F303:F363" si="10">F302+D303-E303</f>
        <v>1013164874</v>
      </c>
      <c r="H303" s="226"/>
      <c r="I303" s="3"/>
      <c r="J303" s="227"/>
      <c r="K303" s="227"/>
      <c r="L303" s="227"/>
    </row>
    <row r="304" ht="16.5" customHeight="1">
      <c r="A304" s="253">
        <v>46055.0</v>
      </c>
      <c r="B304" s="254" t="s">
        <v>501</v>
      </c>
      <c r="C304" s="255" t="s">
        <v>471</v>
      </c>
      <c r="D304" s="249"/>
      <c r="E304" s="256">
        <v>1000000.0</v>
      </c>
      <c r="F304" s="249">
        <f t="shared" si="10"/>
        <v>1012164874</v>
      </c>
      <c r="H304" s="226"/>
      <c r="I304" s="3"/>
      <c r="J304" s="227"/>
      <c r="K304" s="227"/>
      <c r="L304" s="227"/>
    </row>
    <row r="305" ht="16.5" customHeight="1">
      <c r="A305" s="257">
        <v>46055.0</v>
      </c>
      <c r="B305" s="245" t="s">
        <v>535</v>
      </c>
      <c r="C305" s="258" t="s">
        <v>27</v>
      </c>
      <c r="D305" s="200"/>
      <c r="E305" s="252">
        <v>1.5E7</v>
      </c>
      <c r="F305" s="200">
        <f t="shared" si="10"/>
        <v>997164874</v>
      </c>
      <c r="H305" s="226"/>
      <c r="I305" s="3"/>
      <c r="J305" s="227"/>
      <c r="K305" s="227"/>
      <c r="L305" s="227"/>
    </row>
    <row r="306" ht="16.5" customHeight="1">
      <c r="A306" s="253">
        <v>46055.0</v>
      </c>
      <c r="B306" s="254" t="s">
        <v>536</v>
      </c>
      <c r="C306" s="255" t="s">
        <v>471</v>
      </c>
      <c r="D306" s="249"/>
      <c r="E306" s="256">
        <v>8435000.0</v>
      </c>
      <c r="F306" s="249">
        <f t="shared" si="10"/>
        <v>988729874</v>
      </c>
      <c r="H306" s="226"/>
      <c r="I306" s="3"/>
      <c r="J306" s="227"/>
      <c r="K306" s="227"/>
      <c r="L306" s="227"/>
    </row>
    <row r="307" ht="16.5" customHeight="1">
      <c r="A307" s="253">
        <v>46055.0</v>
      </c>
      <c r="B307" s="254" t="s">
        <v>537</v>
      </c>
      <c r="C307" s="255" t="s">
        <v>471</v>
      </c>
      <c r="D307" s="249"/>
      <c r="E307" s="256">
        <v>825000.0</v>
      </c>
      <c r="F307" s="249">
        <f t="shared" si="10"/>
        <v>987904874</v>
      </c>
      <c r="H307" s="226"/>
      <c r="I307" s="3"/>
      <c r="J307" s="227"/>
      <c r="K307" s="227"/>
      <c r="L307" s="227"/>
    </row>
    <row r="308" ht="16.5" customHeight="1">
      <c r="A308" s="253">
        <v>46055.0</v>
      </c>
      <c r="B308" s="254" t="s">
        <v>538</v>
      </c>
      <c r="C308" s="255" t="s">
        <v>471</v>
      </c>
      <c r="D308" s="249"/>
      <c r="E308" s="256">
        <v>2000000.0</v>
      </c>
      <c r="F308" s="249">
        <f t="shared" si="10"/>
        <v>985904874</v>
      </c>
      <c r="H308" s="226"/>
      <c r="I308" s="3"/>
      <c r="J308" s="227"/>
      <c r="K308" s="227"/>
      <c r="L308" s="227"/>
    </row>
    <row r="309" ht="16.5" customHeight="1">
      <c r="A309" s="253">
        <v>46056.0</v>
      </c>
      <c r="B309" s="254" t="s">
        <v>525</v>
      </c>
      <c r="C309" s="255" t="s">
        <v>471</v>
      </c>
      <c r="D309" s="249"/>
      <c r="E309" s="256">
        <v>7000000.0</v>
      </c>
      <c r="F309" s="249">
        <f t="shared" si="10"/>
        <v>978904874</v>
      </c>
      <c r="H309" s="226"/>
      <c r="I309" s="3"/>
      <c r="J309" s="227"/>
      <c r="K309" s="227"/>
      <c r="L309" s="227"/>
    </row>
    <row r="310" ht="16.5" customHeight="1">
      <c r="A310" s="257">
        <v>46056.0</v>
      </c>
      <c r="B310" s="245" t="s">
        <v>539</v>
      </c>
      <c r="C310" s="258" t="s">
        <v>27</v>
      </c>
      <c r="D310" s="200"/>
      <c r="E310" s="252">
        <v>5730000.0</v>
      </c>
      <c r="F310" s="200">
        <f t="shared" si="10"/>
        <v>973174874</v>
      </c>
      <c r="H310" s="226"/>
      <c r="I310" s="3"/>
      <c r="J310" s="227"/>
      <c r="K310" s="227"/>
      <c r="L310" s="227"/>
    </row>
    <row r="311" ht="16.5" customHeight="1">
      <c r="A311" s="253">
        <v>46056.0</v>
      </c>
      <c r="B311" s="254" t="s">
        <v>533</v>
      </c>
      <c r="C311" s="255" t="s">
        <v>471</v>
      </c>
      <c r="D311" s="249"/>
      <c r="E311" s="256">
        <v>3000000.0</v>
      </c>
      <c r="F311" s="249">
        <f t="shared" si="10"/>
        <v>970174874</v>
      </c>
      <c r="H311" s="226"/>
      <c r="I311" s="3"/>
      <c r="J311" s="227"/>
      <c r="K311" s="227"/>
      <c r="L311" s="227"/>
    </row>
    <row r="312" ht="16.5" customHeight="1">
      <c r="A312" s="257">
        <v>46057.0</v>
      </c>
      <c r="B312" s="245" t="s">
        <v>540</v>
      </c>
      <c r="C312" s="258" t="s">
        <v>27</v>
      </c>
      <c r="D312" s="200"/>
      <c r="E312" s="252">
        <v>820000.0</v>
      </c>
      <c r="F312" s="200">
        <f t="shared" si="10"/>
        <v>969354874</v>
      </c>
      <c r="H312" s="226"/>
      <c r="I312" s="3"/>
      <c r="J312" s="227"/>
      <c r="K312" s="227"/>
      <c r="L312" s="227"/>
    </row>
    <row r="313" ht="16.5" customHeight="1">
      <c r="A313" s="253">
        <v>46057.0</v>
      </c>
      <c r="B313" s="254" t="s">
        <v>541</v>
      </c>
      <c r="C313" s="255" t="s">
        <v>471</v>
      </c>
      <c r="D313" s="249"/>
      <c r="E313" s="256">
        <v>133920.0</v>
      </c>
      <c r="F313" s="249">
        <f t="shared" si="10"/>
        <v>969220954</v>
      </c>
      <c r="H313" s="226"/>
      <c r="I313" s="3"/>
      <c r="J313" s="227"/>
      <c r="K313" s="227"/>
      <c r="L313" s="227"/>
    </row>
    <row r="314" ht="16.5" customHeight="1">
      <c r="A314" s="257">
        <v>46058.0</v>
      </c>
      <c r="B314" s="245" t="s">
        <v>542</v>
      </c>
      <c r="C314" s="258" t="s">
        <v>27</v>
      </c>
      <c r="D314" s="200"/>
      <c r="E314" s="252">
        <v>7000000.0</v>
      </c>
      <c r="F314" s="200">
        <f t="shared" si="10"/>
        <v>962220954</v>
      </c>
      <c r="H314" s="226"/>
      <c r="I314" s="3"/>
      <c r="J314" s="227"/>
      <c r="K314" s="227"/>
      <c r="L314" s="227"/>
    </row>
    <row r="315" ht="16.5" customHeight="1">
      <c r="A315" s="253">
        <v>46059.0</v>
      </c>
      <c r="B315" s="254" t="s">
        <v>543</v>
      </c>
      <c r="C315" s="255" t="s">
        <v>471</v>
      </c>
      <c r="D315" s="249"/>
      <c r="E315" s="256">
        <v>2000000.0</v>
      </c>
      <c r="F315" s="249">
        <f t="shared" si="10"/>
        <v>960220954</v>
      </c>
      <c r="H315" s="226"/>
      <c r="I315" s="3"/>
      <c r="J315" s="227"/>
      <c r="K315" s="227"/>
      <c r="L315" s="227"/>
    </row>
    <row r="316" ht="16.5" customHeight="1">
      <c r="A316" s="253">
        <v>46059.0</v>
      </c>
      <c r="B316" s="254" t="s">
        <v>533</v>
      </c>
      <c r="C316" s="255" t="s">
        <v>471</v>
      </c>
      <c r="D316" s="249"/>
      <c r="E316" s="256">
        <v>625000.0</v>
      </c>
      <c r="F316" s="249">
        <f t="shared" si="10"/>
        <v>959595954</v>
      </c>
      <c r="H316" s="226"/>
      <c r="I316" s="3"/>
      <c r="J316" s="227"/>
      <c r="K316" s="227"/>
      <c r="L316" s="227"/>
    </row>
    <row r="317" ht="16.5" customHeight="1">
      <c r="A317" s="257">
        <v>46059.0</v>
      </c>
      <c r="B317" s="245" t="s">
        <v>544</v>
      </c>
      <c r="C317" s="258" t="s">
        <v>27</v>
      </c>
      <c r="D317" s="200"/>
      <c r="E317" s="252">
        <v>360000.0</v>
      </c>
      <c r="F317" s="200">
        <f t="shared" si="10"/>
        <v>959235954</v>
      </c>
      <c r="H317" s="226"/>
      <c r="I317" s="3"/>
      <c r="J317" s="227"/>
      <c r="K317" s="227"/>
      <c r="L317" s="227"/>
    </row>
    <row r="318" ht="16.5" customHeight="1">
      <c r="A318" s="253">
        <v>46060.0</v>
      </c>
      <c r="B318" s="254" t="s">
        <v>541</v>
      </c>
      <c r="C318" s="255" t="s">
        <v>471</v>
      </c>
      <c r="D318" s="249"/>
      <c r="E318" s="256">
        <v>136800.0</v>
      </c>
      <c r="F318" s="249">
        <f t="shared" si="10"/>
        <v>959099154</v>
      </c>
      <c r="H318" s="226"/>
      <c r="I318" s="3"/>
      <c r="J318" s="227"/>
      <c r="K318" s="227"/>
      <c r="L318" s="227"/>
    </row>
    <row r="319" ht="16.5" customHeight="1">
      <c r="A319" s="257">
        <v>46060.0</v>
      </c>
      <c r="B319" s="245" t="s">
        <v>487</v>
      </c>
      <c r="C319" s="258" t="s">
        <v>27</v>
      </c>
      <c r="D319" s="200"/>
      <c r="E319" s="252">
        <v>7350000.0</v>
      </c>
      <c r="F319" s="200">
        <f t="shared" si="10"/>
        <v>951749154</v>
      </c>
      <c r="H319" s="226"/>
      <c r="I319" s="3"/>
      <c r="J319" s="227"/>
      <c r="K319" s="227"/>
      <c r="L319" s="227"/>
    </row>
    <row r="320" ht="16.5" customHeight="1">
      <c r="A320" s="253">
        <v>46062.0</v>
      </c>
      <c r="B320" s="254" t="s">
        <v>545</v>
      </c>
      <c r="C320" s="255" t="s">
        <v>471</v>
      </c>
      <c r="D320" s="249"/>
      <c r="E320" s="256">
        <v>725000.0</v>
      </c>
      <c r="F320" s="249">
        <f t="shared" si="10"/>
        <v>951024154</v>
      </c>
      <c r="H320" s="226"/>
      <c r="I320" s="3"/>
      <c r="J320" s="227"/>
      <c r="K320" s="227"/>
      <c r="L320" s="227"/>
    </row>
    <row r="321" ht="16.5" customHeight="1">
      <c r="A321" s="257">
        <v>46062.0</v>
      </c>
      <c r="B321" s="245" t="s">
        <v>546</v>
      </c>
      <c r="C321" s="258" t="s">
        <v>27</v>
      </c>
      <c r="D321" s="200"/>
      <c r="E321" s="252">
        <v>1.0E7</v>
      </c>
      <c r="F321" s="200">
        <f t="shared" si="10"/>
        <v>941024154</v>
      </c>
      <c r="H321" s="226"/>
      <c r="I321" s="3"/>
      <c r="J321" s="227"/>
      <c r="K321" s="227"/>
      <c r="L321" s="227"/>
    </row>
    <row r="322" ht="16.5" customHeight="1">
      <c r="A322" s="253">
        <v>46064.0</v>
      </c>
      <c r="B322" s="254" t="s">
        <v>547</v>
      </c>
      <c r="C322" s="255" t="s">
        <v>471</v>
      </c>
      <c r="D322" s="249"/>
      <c r="E322" s="256">
        <v>1950000.0</v>
      </c>
      <c r="F322" s="249">
        <f t="shared" si="10"/>
        <v>939074154</v>
      </c>
      <c r="H322" s="226"/>
      <c r="I322" s="3"/>
      <c r="J322" s="227"/>
      <c r="K322" s="227"/>
      <c r="L322" s="227"/>
    </row>
    <row r="323" ht="16.5" customHeight="1">
      <c r="A323" s="253">
        <v>46064.0</v>
      </c>
      <c r="B323" s="254" t="s">
        <v>537</v>
      </c>
      <c r="C323" s="255" t="s">
        <v>471</v>
      </c>
      <c r="D323" s="249"/>
      <c r="E323" s="256">
        <v>417000.0</v>
      </c>
      <c r="F323" s="249">
        <f t="shared" si="10"/>
        <v>938657154</v>
      </c>
      <c r="H323" s="226"/>
      <c r="I323" s="3"/>
      <c r="J323" s="227"/>
      <c r="K323" s="227"/>
      <c r="L323" s="227"/>
    </row>
    <row r="324" ht="16.5" customHeight="1">
      <c r="A324" s="257">
        <v>46064.0</v>
      </c>
      <c r="B324" s="245" t="s">
        <v>548</v>
      </c>
      <c r="C324" s="258" t="s">
        <v>27</v>
      </c>
      <c r="D324" s="200"/>
      <c r="E324" s="252">
        <v>572584.0</v>
      </c>
      <c r="F324" s="200">
        <f t="shared" si="10"/>
        <v>938084570</v>
      </c>
      <c r="H324" s="226"/>
      <c r="I324" s="3"/>
      <c r="J324" s="227"/>
      <c r="K324" s="227"/>
      <c r="L324" s="227"/>
    </row>
    <row r="325" ht="16.5" customHeight="1">
      <c r="A325" s="257">
        <v>46064.0</v>
      </c>
      <c r="B325" s="245" t="s">
        <v>549</v>
      </c>
      <c r="C325" s="258" t="s">
        <v>27</v>
      </c>
      <c r="D325" s="200"/>
      <c r="E325" s="252">
        <v>422910.0</v>
      </c>
      <c r="F325" s="200">
        <f t="shared" si="10"/>
        <v>937661660</v>
      </c>
      <c r="H325" s="226"/>
      <c r="I325" s="3"/>
      <c r="J325" s="227"/>
      <c r="K325" s="227"/>
      <c r="L325" s="227"/>
    </row>
    <row r="326" ht="16.5" customHeight="1">
      <c r="A326" s="257">
        <v>46064.0</v>
      </c>
      <c r="B326" s="245" t="s">
        <v>550</v>
      </c>
      <c r="C326" s="258" t="s">
        <v>27</v>
      </c>
      <c r="D326" s="200"/>
      <c r="E326" s="252">
        <v>168250.0</v>
      </c>
      <c r="F326" s="200">
        <f t="shared" si="10"/>
        <v>937493410</v>
      </c>
      <c r="H326" s="226"/>
      <c r="I326" s="3"/>
      <c r="J326" s="227"/>
      <c r="K326" s="227"/>
      <c r="L326" s="227"/>
    </row>
    <row r="327" ht="16.5" customHeight="1">
      <c r="A327" s="253">
        <v>46064.0</v>
      </c>
      <c r="B327" s="254" t="s">
        <v>551</v>
      </c>
      <c r="C327" s="255" t="s">
        <v>471</v>
      </c>
      <c r="D327" s="249"/>
      <c r="E327" s="256">
        <v>2000000.0</v>
      </c>
      <c r="F327" s="249">
        <f t="shared" si="10"/>
        <v>935493410</v>
      </c>
      <c r="H327" s="226"/>
      <c r="I327" s="3"/>
      <c r="J327" s="227"/>
      <c r="K327" s="227"/>
      <c r="L327" s="227"/>
    </row>
    <row r="328" ht="16.5" customHeight="1">
      <c r="A328" s="253">
        <v>46065.0</v>
      </c>
      <c r="B328" s="254" t="s">
        <v>537</v>
      </c>
      <c r="C328" s="255" t="s">
        <v>471</v>
      </c>
      <c r="D328" s="249"/>
      <c r="E328" s="256">
        <v>465000.0</v>
      </c>
      <c r="F328" s="249">
        <f t="shared" si="10"/>
        <v>935028410</v>
      </c>
      <c r="H328" s="226"/>
      <c r="I328" s="3"/>
      <c r="J328" s="227"/>
      <c r="K328" s="227"/>
      <c r="L328" s="227"/>
    </row>
    <row r="329" ht="16.5" customHeight="1">
      <c r="A329" s="253">
        <v>46065.0</v>
      </c>
      <c r="B329" s="254" t="s">
        <v>552</v>
      </c>
      <c r="C329" s="255" t="s">
        <v>471</v>
      </c>
      <c r="D329" s="249"/>
      <c r="E329" s="256">
        <v>256946.0</v>
      </c>
      <c r="F329" s="249">
        <f t="shared" si="10"/>
        <v>934771464</v>
      </c>
      <c r="H329" s="226"/>
      <c r="I329" s="3"/>
      <c r="J329" s="227"/>
      <c r="K329" s="227"/>
      <c r="L329" s="227"/>
    </row>
    <row r="330" ht="16.5" customHeight="1">
      <c r="A330" s="257">
        <v>46065.0</v>
      </c>
      <c r="B330" s="245" t="s">
        <v>553</v>
      </c>
      <c r="C330" s="258" t="s">
        <v>27</v>
      </c>
      <c r="D330" s="200"/>
      <c r="E330" s="252">
        <v>4.9032E7</v>
      </c>
      <c r="F330" s="200">
        <f t="shared" si="10"/>
        <v>885739464</v>
      </c>
      <c r="H330" s="226"/>
      <c r="I330" s="3"/>
      <c r="J330" s="227"/>
      <c r="K330" s="227"/>
      <c r="L330" s="227"/>
    </row>
    <row r="331" ht="16.5" customHeight="1">
      <c r="A331" s="253">
        <v>46065.0</v>
      </c>
      <c r="B331" s="254" t="s">
        <v>554</v>
      </c>
      <c r="C331" s="255" t="s">
        <v>471</v>
      </c>
      <c r="D331" s="249"/>
      <c r="E331" s="256">
        <v>7.5E7</v>
      </c>
      <c r="F331" s="249">
        <f t="shared" si="10"/>
        <v>810739464</v>
      </c>
      <c r="H331" s="226"/>
      <c r="I331" s="3"/>
      <c r="J331" s="227"/>
      <c r="K331" s="227"/>
      <c r="L331" s="227"/>
    </row>
    <row r="332" ht="16.5" customHeight="1">
      <c r="A332" s="257">
        <v>46068.0</v>
      </c>
      <c r="B332" s="245" t="s">
        <v>555</v>
      </c>
      <c r="C332" s="258" t="s">
        <v>27</v>
      </c>
      <c r="D332" s="200"/>
      <c r="E332" s="252">
        <v>5740000.0</v>
      </c>
      <c r="F332" s="200">
        <f t="shared" si="10"/>
        <v>804999464</v>
      </c>
      <c r="H332" s="226"/>
      <c r="I332" s="3"/>
      <c r="J332" s="227"/>
      <c r="K332" s="227"/>
      <c r="L332" s="227"/>
    </row>
    <row r="333" ht="16.5" customHeight="1">
      <c r="A333" s="253">
        <v>46068.0</v>
      </c>
      <c r="B333" s="254" t="s">
        <v>556</v>
      </c>
      <c r="C333" s="255" t="s">
        <v>471</v>
      </c>
      <c r="D333" s="249"/>
      <c r="E333" s="256">
        <v>1.5E8</v>
      </c>
      <c r="F333" s="249">
        <f t="shared" si="10"/>
        <v>654999464</v>
      </c>
      <c r="H333" s="226"/>
      <c r="I333" s="3"/>
      <c r="J333" s="227"/>
      <c r="K333" s="227"/>
      <c r="L333" s="227"/>
    </row>
    <row r="334" ht="16.5" customHeight="1">
      <c r="A334" s="253">
        <v>46068.0</v>
      </c>
      <c r="B334" s="254" t="s">
        <v>557</v>
      </c>
      <c r="C334" s="255" t="s">
        <v>471</v>
      </c>
      <c r="D334" s="249"/>
      <c r="E334" s="256">
        <v>4000000.0</v>
      </c>
      <c r="F334" s="249">
        <f t="shared" si="10"/>
        <v>650999464</v>
      </c>
      <c r="H334" s="226"/>
      <c r="I334" s="3"/>
      <c r="J334" s="227"/>
      <c r="K334" s="227"/>
      <c r="L334" s="227"/>
    </row>
    <row r="335" ht="16.5" customHeight="1">
      <c r="A335" s="262">
        <v>46071.0</v>
      </c>
      <c r="B335" s="263" t="s">
        <v>518</v>
      </c>
      <c r="C335" s="264" t="s">
        <v>177</v>
      </c>
      <c r="D335" s="265"/>
      <c r="E335" s="168">
        <v>1735800.0</v>
      </c>
      <c r="F335" s="265">
        <f t="shared" si="10"/>
        <v>649263664</v>
      </c>
      <c r="H335" s="226"/>
      <c r="I335" s="3"/>
      <c r="J335" s="227"/>
      <c r="K335" s="227"/>
      <c r="L335" s="227"/>
    </row>
    <row r="336" ht="16.5" customHeight="1">
      <c r="A336" s="259">
        <v>46071.0</v>
      </c>
      <c r="B336" s="260" t="s">
        <v>558</v>
      </c>
      <c r="C336" s="261" t="s">
        <v>58</v>
      </c>
      <c r="D336" s="221"/>
      <c r="E336" s="207">
        <v>1332000.0</v>
      </c>
      <c r="F336" s="221">
        <f t="shared" si="10"/>
        <v>647931664</v>
      </c>
      <c r="H336" s="226"/>
      <c r="I336" s="3"/>
      <c r="J336" s="227"/>
      <c r="K336" s="227"/>
      <c r="L336" s="227"/>
    </row>
    <row r="337" ht="16.5" customHeight="1">
      <c r="A337" s="253">
        <v>46071.0</v>
      </c>
      <c r="B337" s="254" t="s">
        <v>559</v>
      </c>
      <c r="C337" s="255" t="s">
        <v>471</v>
      </c>
      <c r="D337" s="249"/>
      <c r="E337" s="256">
        <v>1.0E8</v>
      </c>
      <c r="F337" s="249">
        <f t="shared" si="10"/>
        <v>547931664</v>
      </c>
      <c r="H337" s="226"/>
      <c r="I337" s="3"/>
      <c r="J337" s="227"/>
      <c r="K337" s="227"/>
      <c r="L337" s="227"/>
    </row>
    <row r="338" ht="16.5" customHeight="1">
      <c r="A338" s="253">
        <v>46072.0</v>
      </c>
      <c r="B338" s="254" t="s">
        <v>438</v>
      </c>
      <c r="C338" s="255" t="s">
        <v>471</v>
      </c>
      <c r="D338" s="249"/>
      <c r="E338" s="256">
        <v>2729719.0</v>
      </c>
      <c r="F338" s="249">
        <f t="shared" si="10"/>
        <v>545201945</v>
      </c>
      <c r="H338" s="226"/>
      <c r="I338" s="3"/>
      <c r="J338" s="227"/>
      <c r="K338" s="227"/>
      <c r="L338" s="227"/>
    </row>
    <row r="339" ht="16.5" customHeight="1">
      <c r="A339" s="257">
        <v>46072.0</v>
      </c>
      <c r="B339" s="245" t="s">
        <v>438</v>
      </c>
      <c r="C339" s="258" t="s">
        <v>27</v>
      </c>
      <c r="D339" s="200"/>
      <c r="E339" s="252">
        <v>1.0110629E7</v>
      </c>
      <c r="F339" s="200">
        <f t="shared" si="10"/>
        <v>535091316</v>
      </c>
      <c r="H339" s="226"/>
      <c r="I339" s="3"/>
      <c r="J339" s="227"/>
      <c r="K339" s="227"/>
      <c r="L339" s="227"/>
    </row>
    <row r="340" ht="16.5" customHeight="1">
      <c r="A340" s="253">
        <v>46041.0</v>
      </c>
      <c r="B340" s="254" t="s">
        <v>560</v>
      </c>
      <c r="C340" s="255" t="s">
        <v>471</v>
      </c>
      <c r="D340" s="249"/>
      <c r="E340" s="256">
        <v>2.31E7</v>
      </c>
      <c r="F340" s="249">
        <f t="shared" si="10"/>
        <v>511991316</v>
      </c>
      <c r="H340" s="226"/>
      <c r="I340" s="3"/>
      <c r="J340" s="227"/>
      <c r="K340" s="227"/>
      <c r="L340" s="227"/>
    </row>
    <row r="341" ht="16.5" customHeight="1">
      <c r="A341" s="253">
        <v>46073.0</v>
      </c>
      <c r="B341" s="254" t="s">
        <v>561</v>
      </c>
      <c r="C341" s="255" t="s">
        <v>471</v>
      </c>
      <c r="D341" s="249"/>
      <c r="E341" s="256">
        <v>1.407E7</v>
      </c>
      <c r="F341" s="249">
        <f t="shared" si="10"/>
        <v>497921316</v>
      </c>
      <c r="H341" s="226"/>
      <c r="I341" s="3"/>
      <c r="J341" s="227"/>
      <c r="K341" s="227"/>
      <c r="L341" s="227"/>
    </row>
    <row r="342" ht="16.5" customHeight="1">
      <c r="A342" s="253">
        <v>46073.0</v>
      </c>
      <c r="B342" s="254" t="s">
        <v>562</v>
      </c>
      <c r="C342" s="255" t="s">
        <v>471</v>
      </c>
      <c r="D342" s="249"/>
      <c r="E342" s="256">
        <v>1.493E7</v>
      </c>
      <c r="F342" s="249">
        <f t="shared" si="10"/>
        <v>482991316</v>
      </c>
      <c r="H342" s="226"/>
      <c r="I342" s="3"/>
      <c r="J342" s="227"/>
      <c r="K342" s="227"/>
      <c r="L342" s="227"/>
    </row>
    <row r="343" ht="16.5" customHeight="1">
      <c r="A343" s="253">
        <v>46074.0</v>
      </c>
      <c r="B343" s="254" t="s">
        <v>563</v>
      </c>
      <c r="C343" s="255" t="s">
        <v>471</v>
      </c>
      <c r="D343" s="249"/>
      <c r="E343" s="256">
        <v>5825000.0</v>
      </c>
      <c r="F343" s="249">
        <f t="shared" si="10"/>
        <v>477166316</v>
      </c>
      <c r="H343" s="226"/>
      <c r="I343" s="3"/>
      <c r="J343" s="227"/>
      <c r="K343" s="227"/>
      <c r="L343" s="227"/>
    </row>
    <row r="344" ht="16.5" customHeight="1">
      <c r="A344" s="257">
        <v>46074.0</v>
      </c>
      <c r="B344" s="245" t="s">
        <v>487</v>
      </c>
      <c r="C344" s="258" t="s">
        <v>27</v>
      </c>
      <c r="D344" s="200"/>
      <c r="E344" s="252">
        <v>6250000.0</v>
      </c>
      <c r="F344" s="200">
        <f t="shared" si="10"/>
        <v>470916316</v>
      </c>
      <c r="H344" s="226"/>
      <c r="I344" s="3"/>
      <c r="J344" s="227"/>
      <c r="K344" s="227"/>
      <c r="L344" s="227"/>
    </row>
    <row r="345" ht="16.5" customHeight="1">
      <c r="A345" s="253">
        <v>46074.0</v>
      </c>
      <c r="B345" s="254" t="s">
        <v>564</v>
      </c>
      <c r="C345" s="255" t="s">
        <v>471</v>
      </c>
      <c r="D345" s="249"/>
      <c r="E345" s="256">
        <v>1.5E7</v>
      </c>
      <c r="F345" s="249">
        <f t="shared" si="10"/>
        <v>455916316</v>
      </c>
      <c r="H345" s="226"/>
      <c r="I345" s="3"/>
      <c r="J345" s="227"/>
      <c r="K345" s="227"/>
      <c r="L345" s="227"/>
    </row>
    <row r="346" ht="16.5" customHeight="1">
      <c r="A346" s="269">
        <v>46076.0</v>
      </c>
      <c r="B346" s="270" t="s">
        <v>451</v>
      </c>
      <c r="C346" s="240"/>
      <c r="D346" s="242">
        <f>13300*38000</f>
        <v>505400000</v>
      </c>
      <c r="E346" s="241"/>
      <c r="F346" s="242">
        <f t="shared" si="10"/>
        <v>961316316</v>
      </c>
      <c r="H346" s="226"/>
      <c r="I346" s="3"/>
      <c r="J346" s="227"/>
      <c r="K346" s="227"/>
      <c r="L346" s="227"/>
    </row>
    <row r="347" ht="16.5" customHeight="1">
      <c r="A347" s="257">
        <v>46076.0</v>
      </c>
      <c r="B347" s="245" t="s">
        <v>565</v>
      </c>
      <c r="C347" s="258" t="s">
        <v>27</v>
      </c>
      <c r="D347" s="200"/>
      <c r="E347" s="252">
        <f>2068800+545000</f>
        <v>2613800</v>
      </c>
      <c r="F347" s="200">
        <f t="shared" si="10"/>
        <v>958702516</v>
      </c>
      <c r="H347" s="226"/>
      <c r="I347" s="3"/>
      <c r="J347" s="227"/>
      <c r="K347" s="227"/>
      <c r="L347" s="227"/>
    </row>
    <row r="348" ht="16.5" customHeight="1">
      <c r="A348" s="253">
        <v>46077.0</v>
      </c>
      <c r="B348" s="254" t="s">
        <v>566</v>
      </c>
      <c r="C348" s="255" t="s">
        <v>471</v>
      </c>
      <c r="D348" s="249"/>
      <c r="E348" s="256">
        <v>1350000.0</v>
      </c>
      <c r="F348" s="249">
        <f t="shared" si="10"/>
        <v>957352516</v>
      </c>
      <c r="H348" s="226"/>
      <c r="I348" s="3"/>
      <c r="J348" s="227"/>
      <c r="K348" s="227"/>
      <c r="L348" s="227"/>
    </row>
    <row r="349" ht="16.5" customHeight="1">
      <c r="A349" s="253">
        <v>46077.0</v>
      </c>
      <c r="B349" s="254" t="s">
        <v>567</v>
      </c>
      <c r="C349" s="255" t="s">
        <v>471</v>
      </c>
      <c r="D349" s="249"/>
      <c r="E349" s="256">
        <v>1174000.0</v>
      </c>
      <c r="F349" s="249">
        <f t="shared" si="10"/>
        <v>956178516</v>
      </c>
      <c r="H349" s="226"/>
      <c r="I349" s="3"/>
      <c r="J349" s="227"/>
      <c r="K349" s="227"/>
      <c r="L349" s="227"/>
    </row>
    <row r="350" ht="16.5" customHeight="1">
      <c r="A350" s="257">
        <v>46077.0</v>
      </c>
      <c r="B350" s="245" t="s">
        <v>568</v>
      </c>
      <c r="C350" s="258" t="s">
        <v>27</v>
      </c>
      <c r="D350" s="200"/>
      <c r="E350" s="252">
        <v>6.0E7</v>
      </c>
      <c r="F350" s="200">
        <f t="shared" si="10"/>
        <v>896178516</v>
      </c>
      <c r="H350" s="226"/>
      <c r="I350" s="3"/>
      <c r="J350" s="227"/>
      <c r="K350" s="227"/>
      <c r="L350" s="227"/>
    </row>
    <row r="351" ht="16.5" customHeight="1">
      <c r="A351" s="257">
        <v>46077.0</v>
      </c>
      <c r="B351" s="245" t="s">
        <v>569</v>
      </c>
      <c r="C351" s="258" t="s">
        <v>27</v>
      </c>
      <c r="D351" s="200"/>
      <c r="E351" s="252">
        <v>6.0E7</v>
      </c>
      <c r="F351" s="200">
        <f t="shared" si="10"/>
        <v>836178516</v>
      </c>
      <c r="H351" s="226"/>
      <c r="I351" s="3"/>
      <c r="J351" s="227"/>
      <c r="K351" s="227"/>
      <c r="L351" s="227"/>
    </row>
    <row r="352" ht="16.5" customHeight="1">
      <c r="A352" s="257">
        <v>46078.0</v>
      </c>
      <c r="B352" s="245" t="s">
        <v>570</v>
      </c>
      <c r="C352" s="258" t="s">
        <v>27</v>
      </c>
      <c r="D352" s="200"/>
      <c r="E352" s="252">
        <v>2.0E8</v>
      </c>
      <c r="F352" s="200">
        <f t="shared" si="10"/>
        <v>636178516</v>
      </c>
      <c r="H352" s="226"/>
      <c r="I352" s="3"/>
      <c r="J352" s="227"/>
      <c r="K352" s="227"/>
      <c r="L352" s="227"/>
    </row>
    <row r="353" ht="16.5" customHeight="1">
      <c r="A353" s="257">
        <v>46078.0</v>
      </c>
      <c r="B353" s="245" t="s">
        <v>571</v>
      </c>
      <c r="C353" s="258" t="s">
        <v>27</v>
      </c>
      <c r="D353" s="200"/>
      <c r="E353" s="252">
        <v>4205000.0</v>
      </c>
      <c r="F353" s="200">
        <f t="shared" si="10"/>
        <v>631973516</v>
      </c>
      <c r="H353" s="226"/>
      <c r="I353" s="3"/>
      <c r="J353" s="227"/>
      <c r="K353" s="227"/>
      <c r="L353" s="227"/>
    </row>
    <row r="354" ht="16.5" customHeight="1">
      <c r="A354" s="253">
        <v>46078.0</v>
      </c>
      <c r="B354" s="254" t="s">
        <v>567</v>
      </c>
      <c r="C354" s="255" t="s">
        <v>471</v>
      </c>
      <c r="D354" s="249"/>
      <c r="E354" s="256">
        <v>1220000.0</v>
      </c>
      <c r="F354" s="249">
        <f t="shared" si="10"/>
        <v>630753516</v>
      </c>
      <c r="H354" s="226"/>
      <c r="I354" s="3"/>
      <c r="J354" s="227"/>
      <c r="K354" s="227"/>
      <c r="L354" s="227"/>
    </row>
    <row r="355" ht="16.5" customHeight="1">
      <c r="A355" s="269">
        <v>46078.0</v>
      </c>
      <c r="B355" s="270" t="s">
        <v>451</v>
      </c>
      <c r="C355" s="240"/>
      <c r="D355" s="242">
        <f>500000000</f>
        <v>500000000</v>
      </c>
      <c r="E355" s="241"/>
      <c r="F355" s="242">
        <f t="shared" si="10"/>
        <v>1130753516</v>
      </c>
      <c r="H355" s="226"/>
      <c r="I355" s="3"/>
      <c r="J355" s="227"/>
      <c r="K355" s="227"/>
      <c r="L355" s="227"/>
    </row>
    <row r="356" ht="16.5" customHeight="1">
      <c r="A356" s="257">
        <v>46078.0</v>
      </c>
      <c r="B356" s="245" t="s">
        <v>572</v>
      </c>
      <c r="C356" s="258" t="s">
        <v>27</v>
      </c>
      <c r="D356" s="200"/>
      <c r="E356" s="252">
        <v>5.0E8</v>
      </c>
      <c r="F356" s="200">
        <f t="shared" si="10"/>
        <v>630753516</v>
      </c>
      <c r="H356" s="226"/>
      <c r="I356" s="3"/>
      <c r="J356" s="227"/>
      <c r="K356" s="227"/>
      <c r="L356" s="227"/>
    </row>
    <row r="357" ht="16.5" customHeight="1">
      <c r="A357" s="253">
        <v>46079.0</v>
      </c>
      <c r="B357" s="254" t="s">
        <v>573</v>
      </c>
      <c r="C357" s="255" t="s">
        <v>471</v>
      </c>
      <c r="D357" s="249"/>
      <c r="E357" s="256">
        <f>126000+86000</f>
        <v>212000</v>
      </c>
      <c r="F357" s="249">
        <f t="shared" si="10"/>
        <v>630541516</v>
      </c>
      <c r="H357" s="226"/>
      <c r="I357" s="3"/>
      <c r="J357" s="227"/>
      <c r="K357" s="227"/>
      <c r="L357" s="227"/>
    </row>
    <row r="358" ht="16.5" customHeight="1">
      <c r="A358" s="253">
        <v>46080.0</v>
      </c>
      <c r="B358" s="254" t="s">
        <v>574</v>
      </c>
      <c r="C358" s="255" t="s">
        <v>471</v>
      </c>
      <c r="D358" s="249"/>
      <c r="E358" s="256">
        <f>1655000+220000+610000+498575</f>
        <v>2983575</v>
      </c>
      <c r="F358" s="249">
        <f t="shared" si="10"/>
        <v>627557941</v>
      </c>
      <c r="H358" s="226"/>
      <c r="I358" s="3"/>
      <c r="J358" s="227"/>
      <c r="K358" s="227"/>
      <c r="L358" s="227"/>
    </row>
    <row r="359" ht="16.5" customHeight="1">
      <c r="A359" s="253">
        <v>46080.0</v>
      </c>
      <c r="B359" s="254" t="s">
        <v>575</v>
      </c>
      <c r="C359" s="255" t="s">
        <v>471</v>
      </c>
      <c r="D359" s="249"/>
      <c r="E359" s="256">
        <v>1875000.0</v>
      </c>
      <c r="F359" s="249">
        <f t="shared" si="10"/>
        <v>625682941</v>
      </c>
      <c r="H359" s="226"/>
      <c r="I359" s="3"/>
      <c r="J359" s="227"/>
      <c r="K359" s="227"/>
      <c r="L359" s="227"/>
    </row>
    <row r="360" ht="16.5" customHeight="1">
      <c r="A360" s="253">
        <v>46081.0</v>
      </c>
      <c r="B360" s="254" t="s">
        <v>576</v>
      </c>
      <c r="C360" s="255" t="s">
        <v>471</v>
      </c>
      <c r="D360" s="249"/>
      <c r="E360" s="256">
        <v>1.0E7</v>
      </c>
      <c r="F360" s="249">
        <f t="shared" si="10"/>
        <v>615682941</v>
      </c>
      <c r="H360" s="226"/>
      <c r="I360" s="3"/>
      <c r="J360" s="227"/>
      <c r="K360" s="227"/>
      <c r="L360" s="227"/>
    </row>
    <row r="361" ht="16.5" customHeight="1">
      <c r="A361" s="253">
        <v>46081.0</v>
      </c>
      <c r="B361" s="254" t="s">
        <v>487</v>
      </c>
      <c r="C361" s="255" t="s">
        <v>471</v>
      </c>
      <c r="D361" s="249"/>
      <c r="E361" s="256">
        <v>6200000.0</v>
      </c>
      <c r="F361" s="249">
        <f t="shared" si="10"/>
        <v>609482941</v>
      </c>
      <c r="H361" s="226"/>
      <c r="I361" s="3"/>
      <c r="J361" s="227"/>
      <c r="K361" s="227"/>
      <c r="L361" s="227"/>
    </row>
    <row r="362" ht="16.5" customHeight="1">
      <c r="A362" s="253">
        <v>46081.0</v>
      </c>
      <c r="B362" s="254" t="s">
        <v>577</v>
      </c>
      <c r="C362" s="255" t="s">
        <v>471</v>
      </c>
      <c r="D362" s="249"/>
      <c r="E362" s="250">
        <f>294000+3000000</f>
        <v>3294000</v>
      </c>
      <c r="F362" s="249">
        <f t="shared" si="10"/>
        <v>606188941</v>
      </c>
      <c r="H362" s="226"/>
      <c r="I362" s="3"/>
      <c r="J362" s="227"/>
      <c r="K362" s="227"/>
      <c r="L362" s="227"/>
    </row>
    <row r="363" ht="16.5" customHeight="1">
      <c r="A363" s="253">
        <v>46081.0</v>
      </c>
      <c r="B363" s="254" t="s">
        <v>578</v>
      </c>
      <c r="C363" s="255" t="s">
        <v>471</v>
      </c>
      <c r="D363" s="249"/>
      <c r="E363" s="256">
        <v>5500000.0</v>
      </c>
      <c r="F363" s="249">
        <f t="shared" si="10"/>
        <v>600688941</v>
      </c>
      <c r="H363" s="226"/>
      <c r="I363" s="3"/>
      <c r="J363" s="227"/>
      <c r="K363" s="227"/>
      <c r="L363" s="227"/>
    </row>
    <row r="364" ht="19.5" customHeight="1">
      <c r="A364" s="266"/>
      <c r="B364" s="267"/>
      <c r="C364" s="229"/>
      <c r="D364" s="230"/>
      <c r="E364" s="231"/>
      <c r="F364" s="230"/>
      <c r="H364" s="226"/>
      <c r="I364" s="3"/>
      <c r="J364" s="227"/>
      <c r="K364" s="227"/>
      <c r="L364" s="227"/>
    </row>
    <row r="365" ht="16.5" customHeight="1">
      <c r="A365" s="259">
        <v>46083.0</v>
      </c>
      <c r="B365" s="260" t="s">
        <v>579</v>
      </c>
      <c r="C365" s="261" t="s">
        <v>471</v>
      </c>
      <c r="D365" s="221"/>
      <c r="E365" s="84">
        <f>1725000+95000+80000</f>
        <v>1900000</v>
      </c>
      <c r="F365" s="221">
        <f>F363+D365-E365</f>
        <v>598788941</v>
      </c>
      <c r="H365" s="226"/>
      <c r="I365" s="3"/>
      <c r="J365" s="227"/>
      <c r="K365" s="227"/>
      <c r="L365" s="227"/>
    </row>
    <row r="366" ht="16.5" customHeight="1">
      <c r="A366" s="257">
        <v>46084.0</v>
      </c>
      <c r="B366" s="245" t="s">
        <v>580</v>
      </c>
      <c r="C366" s="258" t="s">
        <v>27</v>
      </c>
      <c r="D366" s="200"/>
      <c r="E366" s="252">
        <v>1.734375E7</v>
      </c>
      <c r="F366" s="200">
        <f t="shared" ref="F366:F503" si="11">F365+D366-E366</f>
        <v>581445191</v>
      </c>
      <c r="H366" s="226"/>
      <c r="I366" s="3"/>
      <c r="J366" s="227"/>
      <c r="K366" s="227"/>
      <c r="L366" s="227"/>
    </row>
    <row r="367" ht="16.5" customHeight="1">
      <c r="A367" s="257">
        <v>46084.0</v>
      </c>
      <c r="B367" s="245" t="s">
        <v>581</v>
      </c>
      <c r="C367" s="258" t="s">
        <v>27</v>
      </c>
      <c r="D367" s="200"/>
      <c r="E367" s="252">
        <v>5.78925E7</v>
      </c>
      <c r="F367" s="200">
        <f t="shared" si="11"/>
        <v>523552691</v>
      </c>
      <c r="H367" s="226"/>
      <c r="I367" s="3"/>
      <c r="J367" s="227"/>
      <c r="K367" s="227"/>
      <c r="L367" s="227"/>
    </row>
    <row r="368" ht="16.5" customHeight="1">
      <c r="A368" s="257">
        <v>46085.0</v>
      </c>
      <c r="B368" s="245" t="s">
        <v>582</v>
      </c>
      <c r="C368" s="258" t="s">
        <v>27</v>
      </c>
      <c r="D368" s="200"/>
      <c r="E368" s="252">
        <v>1.517E7</v>
      </c>
      <c r="F368" s="200">
        <f t="shared" si="11"/>
        <v>508382691</v>
      </c>
      <c r="H368" s="226"/>
      <c r="I368" s="3"/>
      <c r="J368" s="227"/>
      <c r="K368" s="227"/>
      <c r="L368" s="227"/>
    </row>
    <row r="369" ht="16.5" customHeight="1">
      <c r="A369" s="257">
        <v>46086.0</v>
      </c>
      <c r="B369" s="245" t="s">
        <v>583</v>
      </c>
      <c r="C369" s="258" t="s">
        <v>27</v>
      </c>
      <c r="D369" s="200"/>
      <c r="E369" s="252">
        <v>4.0E7</v>
      </c>
      <c r="F369" s="200">
        <f t="shared" si="11"/>
        <v>468382691</v>
      </c>
      <c r="H369" s="226"/>
      <c r="I369" s="3"/>
      <c r="J369" s="227"/>
      <c r="K369" s="227"/>
      <c r="L369" s="227"/>
    </row>
    <row r="370" ht="16.5" customHeight="1">
      <c r="A370" s="259">
        <v>46086.0</v>
      </c>
      <c r="B370" s="260" t="s">
        <v>584</v>
      </c>
      <c r="C370" s="261" t="s">
        <v>471</v>
      </c>
      <c r="D370" s="221"/>
      <c r="E370" s="207">
        <v>700000.0</v>
      </c>
      <c r="F370" s="221">
        <f t="shared" si="11"/>
        <v>467682691</v>
      </c>
      <c r="H370" s="226"/>
      <c r="I370" s="3"/>
      <c r="J370" s="227"/>
      <c r="K370" s="227"/>
      <c r="L370" s="227"/>
    </row>
    <row r="371" ht="16.5" customHeight="1">
      <c r="A371" s="259">
        <v>46086.0</v>
      </c>
      <c r="B371" s="260" t="s">
        <v>585</v>
      </c>
      <c r="C371" s="261" t="s">
        <v>471</v>
      </c>
      <c r="D371" s="221"/>
      <c r="E371" s="207">
        <v>9500000.0</v>
      </c>
      <c r="F371" s="221">
        <f t="shared" si="11"/>
        <v>458182691</v>
      </c>
      <c r="H371" s="226"/>
      <c r="I371" s="3"/>
      <c r="J371" s="227"/>
      <c r="K371" s="227"/>
      <c r="L371" s="227"/>
    </row>
    <row r="372" ht="16.5" customHeight="1">
      <c r="A372" s="259">
        <v>46088.0</v>
      </c>
      <c r="B372" s="260" t="s">
        <v>586</v>
      </c>
      <c r="C372" s="261" t="s">
        <v>471</v>
      </c>
      <c r="D372" s="221"/>
      <c r="E372" s="207">
        <v>822000.0</v>
      </c>
      <c r="F372" s="221">
        <f t="shared" si="11"/>
        <v>457360691</v>
      </c>
      <c r="H372" s="226"/>
      <c r="I372" s="3"/>
      <c r="J372" s="227"/>
      <c r="K372" s="227"/>
      <c r="L372" s="227"/>
    </row>
    <row r="373" ht="16.5" customHeight="1">
      <c r="A373" s="259">
        <v>46088.0</v>
      </c>
      <c r="B373" s="260" t="s">
        <v>584</v>
      </c>
      <c r="C373" s="261" t="s">
        <v>471</v>
      </c>
      <c r="D373" s="221"/>
      <c r="E373" s="207">
        <v>1428000.0</v>
      </c>
      <c r="F373" s="221">
        <f t="shared" si="11"/>
        <v>455932691</v>
      </c>
      <c r="H373" s="226"/>
      <c r="I373" s="3"/>
      <c r="J373" s="227"/>
      <c r="K373" s="227"/>
      <c r="L373" s="227"/>
    </row>
    <row r="374" ht="16.5" customHeight="1">
      <c r="A374" s="259">
        <v>46088.0</v>
      </c>
      <c r="B374" s="260" t="s">
        <v>587</v>
      </c>
      <c r="C374" s="261" t="s">
        <v>471</v>
      </c>
      <c r="D374" s="221"/>
      <c r="E374" s="207">
        <v>2.0E7</v>
      </c>
      <c r="F374" s="221">
        <f t="shared" si="11"/>
        <v>435932691</v>
      </c>
      <c r="H374" s="226"/>
      <c r="I374" s="3"/>
      <c r="J374" s="227"/>
      <c r="K374" s="227"/>
      <c r="L374" s="227"/>
    </row>
    <row r="375" ht="16.5" customHeight="1">
      <c r="A375" s="259">
        <v>46089.0</v>
      </c>
      <c r="B375" s="260" t="s">
        <v>588</v>
      </c>
      <c r="C375" s="261" t="s">
        <v>471</v>
      </c>
      <c r="D375" s="221"/>
      <c r="E375" s="207">
        <v>3.262175E7</v>
      </c>
      <c r="F375" s="221">
        <f t="shared" si="11"/>
        <v>403310941</v>
      </c>
      <c r="H375" s="226"/>
      <c r="I375" s="3"/>
      <c r="J375" s="227"/>
      <c r="K375" s="227"/>
      <c r="L375" s="227"/>
    </row>
    <row r="376" ht="16.5" customHeight="1">
      <c r="A376" s="259">
        <v>46089.0</v>
      </c>
      <c r="B376" s="260" t="s">
        <v>589</v>
      </c>
      <c r="C376" s="261" t="s">
        <v>471</v>
      </c>
      <c r="D376" s="221"/>
      <c r="E376" s="207">
        <v>638000.0</v>
      </c>
      <c r="F376" s="221">
        <f t="shared" si="11"/>
        <v>402672941</v>
      </c>
      <c r="H376" s="226"/>
      <c r="I376" s="3"/>
      <c r="J376" s="227"/>
      <c r="K376" s="227"/>
      <c r="L376" s="227"/>
    </row>
    <row r="377" ht="16.5" customHeight="1">
      <c r="A377" s="259">
        <v>46089.0</v>
      </c>
      <c r="B377" s="260" t="s">
        <v>487</v>
      </c>
      <c r="C377" s="261" t="s">
        <v>471</v>
      </c>
      <c r="D377" s="221"/>
      <c r="E377" s="207">
        <v>4070000.0</v>
      </c>
      <c r="F377" s="221">
        <f t="shared" si="11"/>
        <v>398602941</v>
      </c>
      <c r="H377" s="226"/>
      <c r="I377" s="3"/>
      <c r="J377" s="227"/>
      <c r="K377" s="227"/>
      <c r="L377" s="227"/>
    </row>
    <row r="378" ht="16.5" customHeight="1">
      <c r="A378" s="257">
        <v>46090.0</v>
      </c>
      <c r="B378" s="245" t="s">
        <v>590</v>
      </c>
      <c r="C378" s="258" t="s">
        <v>27</v>
      </c>
      <c r="D378" s="200"/>
      <c r="E378" s="252">
        <v>2.56E7</v>
      </c>
      <c r="F378" s="200">
        <f t="shared" si="11"/>
        <v>373002941</v>
      </c>
      <c r="H378" s="226"/>
      <c r="I378" s="3"/>
      <c r="J378" s="227"/>
      <c r="K378" s="227"/>
      <c r="L378" s="227"/>
    </row>
    <row r="379" ht="16.5" customHeight="1">
      <c r="A379" s="259">
        <v>46091.0</v>
      </c>
      <c r="B379" s="260" t="s">
        <v>591</v>
      </c>
      <c r="C379" s="261" t="s">
        <v>471</v>
      </c>
      <c r="D379" s="221"/>
      <c r="E379" s="207">
        <v>3200000.0</v>
      </c>
      <c r="F379" s="221">
        <f t="shared" si="11"/>
        <v>369802941</v>
      </c>
      <c r="H379" s="226"/>
      <c r="I379" s="3"/>
      <c r="J379" s="227"/>
      <c r="K379" s="227"/>
      <c r="L379" s="227"/>
    </row>
    <row r="380" ht="16.5" customHeight="1">
      <c r="A380" s="259">
        <v>46092.0</v>
      </c>
      <c r="B380" s="260" t="s">
        <v>592</v>
      </c>
      <c r="C380" s="261" t="s">
        <v>471</v>
      </c>
      <c r="D380" s="221"/>
      <c r="E380" s="207">
        <v>1782520.0</v>
      </c>
      <c r="F380" s="221">
        <f t="shared" si="11"/>
        <v>368020421</v>
      </c>
      <c r="H380" s="226"/>
      <c r="I380" s="3"/>
      <c r="J380" s="227"/>
      <c r="K380" s="227"/>
      <c r="L380" s="227"/>
    </row>
    <row r="381" ht="16.5" customHeight="1">
      <c r="A381" s="259">
        <v>46092.0</v>
      </c>
      <c r="B381" s="260" t="s">
        <v>593</v>
      </c>
      <c r="C381" s="261" t="s">
        <v>471</v>
      </c>
      <c r="D381" s="221"/>
      <c r="E381" s="207">
        <v>240673.0</v>
      </c>
      <c r="F381" s="221">
        <f t="shared" si="11"/>
        <v>367779748</v>
      </c>
      <c r="H381" s="226"/>
      <c r="I381" s="3"/>
      <c r="J381" s="227"/>
      <c r="K381" s="227"/>
      <c r="L381" s="227"/>
    </row>
    <row r="382" ht="16.5" customHeight="1">
      <c r="A382" s="259">
        <v>46092.0</v>
      </c>
      <c r="B382" s="260" t="s">
        <v>594</v>
      </c>
      <c r="C382" s="261" t="s">
        <v>471</v>
      </c>
      <c r="D382" s="221"/>
      <c r="E382" s="207">
        <v>842110.0</v>
      </c>
      <c r="F382" s="221">
        <f t="shared" si="11"/>
        <v>366937638</v>
      </c>
      <c r="H382" s="226"/>
      <c r="I382" s="3"/>
      <c r="J382" s="227"/>
      <c r="K382" s="227"/>
      <c r="L382" s="227"/>
    </row>
    <row r="383" ht="16.5" customHeight="1">
      <c r="A383" s="257">
        <v>46092.0</v>
      </c>
      <c r="B383" s="245" t="s">
        <v>595</v>
      </c>
      <c r="C383" s="258" t="s">
        <v>27</v>
      </c>
      <c r="D383" s="200"/>
      <c r="E383" s="252">
        <v>1980000.0</v>
      </c>
      <c r="F383" s="200">
        <f t="shared" si="11"/>
        <v>364957638</v>
      </c>
      <c r="H383" s="226"/>
      <c r="I383" s="3"/>
      <c r="J383" s="227"/>
      <c r="K383" s="227"/>
      <c r="L383" s="227"/>
    </row>
    <row r="384" ht="16.5" customHeight="1">
      <c r="A384" s="259">
        <v>46092.0</v>
      </c>
      <c r="B384" s="260" t="s">
        <v>596</v>
      </c>
      <c r="C384" s="261" t="s">
        <v>471</v>
      </c>
      <c r="D384" s="221"/>
      <c r="E384" s="207">
        <v>390168.0</v>
      </c>
      <c r="F384" s="221">
        <f t="shared" si="11"/>
        <v>364567470</v>
      </c>
      <c r="H384" s="226"/>
      <c r="I384" s="3"/>
      <c r="J384" s="227"/>
      <c r="K384" s="227"/>
      <c r="L384" s="227"/>
    </row>
    <row r="385" ht="16.5" customHeight="1">
      <c r="A385" s="259">
        <v>46092.0</v>
      </c>
      <c r="B385" s="260" t="s">
        <v>597</v>
      </c>
      <c r="C385" s="261" t="s">
        <v>471</v>
      </c>
      <c r="D385" s="221"/>
      <c r="E385" s="207">
        <v>5000000.0</v>
      </c>
      <c r="F385" s="221">
        <f t="shared" si="11"/>
        <v>359567470</v>
      </c>
      <c r="H385" s="226"/>
      <c r="I385" s="3"/>
      <c r="J385" s="227"/>
      <c r="K385" s="227"/>
      <c r="L385" s="227"/>
    </row>
    <row r="386" ht="16.5" customHeight="1">
      <c r="A386" s="257">
        <v>46093.0</v>
      </c>
      <c r="B386" s="245" t="s">
        <v>598</v>
      </c>
      <c r="C386" s="258" t="s">
        <v>27</v>
      </c>
      <c r="D386" s="200"/>
      <c r="E386" s="252">
        <v>2.6235E7</v>
      </c>
      <c r="F386" s="200">
        <f t="shared" si="11"/>
        <v>333332470</v>
      </c>
      <c r="H386" s="226"/>
      <c r="I386" s="3"/>
      <c r="J386" s="227"/>
      <c r="K386" s="227"/>
      <c r="L386" s="227"/>
    </row>
    <row r="387" ht="16.5" customHeight="1">
      <c r="A387" s="259">
        <v>46093.0</v>
      </c>
      <c r="B387" s="260" t="s">
        <v>599</v>
      </c>
      <c r="C387" s="261" t="s">
        <v>471</v>
      </c>
      <c r="D387" s="221"/>
      <c r="E387" s="207">
        <v>1.14E7</v>
      </c>
      <c r="F387" s="221">
        <f t="shared" si="11"/>
        <v>321932470</v>
      </c>
      <c r="H387" s="226"/>
      <c r="I387" s="3"/>
      <c r="J387" s="227"/>
      <c r="K387" s="227"/>
      <c r="L387" s="227"/>
    </row>
    <row r="388" ht="16.5" customHeight="1">
      <c r="A388" s="259">
        <v>46093.0</v>
      </c>
      <c r="B388" s="260" t="s">
        <v>600</v>
      </c>
      <c r="C388" s="261" t="s">
        <v>471</v>
      </c>
      <c r="D388" s="221"/>
      <c r="E388" s="207">
        <v>700000.0</v>
      </c>
      <c r="F388" s="221">
        <f t="shared" si="11"/>
        <v>321232470</v>
      </c>
      <c r="H388" s="226"/>
      <c r="I388" s="3"/>
      <c r="J388" s="227"/>
      <c r="K388" s="227"/>
      <c r="L388" s="227"/>
    </row>
    <row r="389" ht="16.5" customHeight="1">
      <c r="A389" s="259">
        <v>46093.0</v>
      </c>
      <c r="B389" s="260" t="s">
        <v>601</v>
      </c>
      <c r="C389" s="261" t="s">
        <v>471</v>
      </c>
      <c r="D389" s="221"/>
      <c r="E389" s="207">
        <v>2400000.0</v>
      </c>
      <c r="F389" s="221">
        <f t="shared" si="11"/>
        <v>318832470</v>
      </c>
      <c r="H389" s="226"/>
      <c r="I389" s="3"/>
      <c r="J389" s="227"/>
      <c r="K389" s="227"/>
      <c r="L389" s="227"/>
    </row>
    <row r="390" ht="16.5" customHeight="1">
      <c r="A390" s="257">
        <v>46093.0</v>
      </c>
      <c r="B390" s="245" t="s">
        <v>602</v>
      </c>
      <c r="C390" s="258" t="s">
        <v>27</v>
      </c>
      <c r="D390" s="200"/>
      <c r="E390" s="252">
        <v>1.3875E7</v>
      </c>
      <c r="F390" s="200">
        <f t="shared" si="11"/>
        <v>304957470</v>
      </c>
      <c r="H390" s="226"/>
      <c r="I390" s="3"/>
      <c r="J390" s="227"/>
      <c r="K390" s="227"/>
      <c r="L390" s="227"/>
    </row>
    <row r="391" ht="16.5" customHeight="1">
      <c r="A391" s="257">
        <v>46093.0</v>
      </c>
      <c r="B391" s="245" t="s">
        <v>603</v>
      </c>
      <c r="C391" s="258" t="s">
        <v>27</v>
      </c>
      <c r="D391" s="200"/>
      <c r="E391" s="252">
        <v>1.8048E7</v>
      </c>
      <c r="F391" s="200">
        <f t="shared" si="11"/>
        <v>286909470</v>
      </c>
      <c r="H391" s="226"/>
      <c r="I391" s="3"/>
      <c r="J391" s="227"/>
      <c r="K391" s="227"/>
      <c r="L391" s="227"/>
    </row>
    <row r="392" ht="16.5" customHeight="1">
      <c r="A392" s="259">
        <v>46093.0</v>
      </c>
      <c r="B392" s="260" t="s">
        <v>604</v>
      </c>
      <c r="C392" s="261" t="s">
        <v>471</v>
      </c>
      <c r="D392" s="221"/>
      <c r="E392" s="207">
        <v>218310.0</v>
      </c>
      <c r="F392" s="221">
        <f t="shared" si="11"/>
        <v>286691160</v>
      </c>
      <c r="H392" s="226"/>
      <c r="I392" s="3"/>
      <c r="J392" s="227"/>
      <c r="K392" s="227"/>
      <c r="L392" s="227"/>
    </row>
    <row r="393" ht="16.5" customHeight="1">
      <c r="A393" s="259">
        <v>46093.0</v>
      </c>
      <c r="B393" s="260" t="s">
        <v>605</v>
      </c>
      <c r="C393" s="261" t="s">
        <v>471</v>
      </c>
      <c r="D393" s="221"/>
      <c r="E393" s="207">
        <v>350000.0</v>
      </c>
      <c r="F393" s="221">
        <f t="shared" si="11"/>
        <v>286341160</v>
      </c>
      <c r="H393" s="226"/>
      <c r="I393" s="3"/>
      <c r="J393" s="227"/>
      <c r="K393" s="227"/>
      <c r="L393" s="227"/>
    </row>
    <row r="394" ht="16.5" customHeight="1">
      <c r="A394" s="259">
        <v>46094.0</v>
      </c>
      <c r="B394" s="260" t="s">
        <v>606</v>
      </c>
      <c r="C394" s="261" t="s">
        <v>471</v>
      </c>
      <c r="D394" s="221"/>
      <c r="E394" s="207">
        <v>4.9550779E7</v>
      </c>
      <c r="F394" s="221">
        <f t="shared" si="11"/>
        <v>236790381</v>
      </c>
      <c r="H394" s="226"/>
      <c r="I394" s="3"/>
      <c r="J394" s="227"/>
      <c r="K394" s="227"/>
      <c r="L394" s="227"/>
    </row>
    <row r="395" ht="16.5" customHeight="1">
      <c r="A395" s="257">
        <v>46094.0</v>
      </c>
      <c r="B395" s="245" t="s">
        <v>607</v>
      </c>
      <c r="C395" s="258" t="s">
        <v>27</v>
      </c>
      <c r="D395" s="200"/>
      <c r="E395" s="252">
        <v>7340000.0</v>
      </c>
      <c r="F395" s="200">
        <f t="shared" si="11"/>
        <v>229450381</v>
      </c>
      <c r="H395" s="226"/>
      <c r="I395" s="3"/>
      <c r="J395" s="227"/>
      <c r="K395" s="227"/>
      <c r="L395" s="227"/>
    </row>
    <row r="396" ht="16.5" customHeight="1">
      <c r="A396" s="259">
        <v>46094.0</v>
      </c>
      <c r="B396" s="260" t="s">
        <v>608</v>
      </c>
      <c r="C396" s="261" t="s">
        <v>471</v>
      </c>
      <c r="D396" s="221"/>
      <c r="E396" s="207">
        <v>2075000.0</v>
      </c>
      <c r="F396" s="221">
        <f t="shared" si="11"/>
        <v>227375381</v>
      </c>
      <c r="H396" s="226"/>
      <c r="I396" s="3"/>
      <c r="J396" s="227"/>
      <c r="K396" s="227"/>
      <c r="L396" s="227"/>
    </row>
    <row r="397" ht="16.5" customHeight="1">
      <c r="A397" s="257">
        <v>46098.0</v>
      </c>
      <c r="B397" s="245" t="s">
        <v>609</v>
      </c>
      <c r="C397" s="258" t="s">
        <v>27</v>
      </c>
      <c r="D397" s="200"/>
      <c r="E397" s="252">
        <v>5266000.0</v>
      </c>
      <c r="F397" s="200">
        <f t="shared" si="11"/>
        <v>222109381</v>
      </c>
      <c r="H397" s="226"/>
      <c r="I397" s="3"/>
      <c r="J397" s="227"/>
      <c r="K397" s="227"/>
      <c r="L397" s="227"/>
    </row>
    <row r="398" ht="16.5" customHeight="1">
      <c r="A398" s="257">
        <v>46098.0</v>
      </c>
      <c r="B398" s="245" t="s">
        <v>610</v>
      </c>
      <c r="C398" s="258" t="s">
        <v>27</v>
      </c>
      <c r="D398" s="200"/>
      <c r="E398" s="252">
        <v>8300000.0</v>
      </c>
      <c r="F398" s="200">
        <f t="shared" si="11"/>
        <v>213809381</v>
      </c>
      <c r="H398" s="226"/>
      <c r="I398" s="3"/>
      <c r="J398" s="227"/>
      <c r="K398" s="227"/>
      <c r="L398" s="227"/>
    </row>
    <row r="399" ht="16.5" customHeight="1">
      <c r="A399" s="259">
        <v>46098.0</v>
      </c>
      <c r="B399" s="260" t="s">
        <v>611</v>
      </c>
      <c r="C399" s="261" t="s">
        <v>58</v>
      </c>
      <c r="D399" s="221"/>
      <c r="E399" s="207">
        <v>940000.0</v>
      </c>
      <c r="F399" s="221">
        <f t="shared" si="11"/>
        <v>212869381</v>
      </c>
      <c r="H399" s="226"/>
      <c r="I399" s="3"/>
      <c r="J399" s="227"/>
      <c r="K399" s="227"/>
      <c r="L399" s="227"/>
    </row>
    <row r="400" ht="16.5" customHeight="1">
      <c r="A400" s="257">
        <v>46098.0</v>
      </c>
      <c r="B400" s="245" t="s">
        <v>612</v>
      </c>
      <c r="C400" s="258" t="s">
        <v>27</v>
      </c>
      <c r="D400" s="200"/>
      <c r="E400" s="252">
        <v>2000000.0</v>
      </c>
      <c r="F400" s="200">
        <f t="shared" si="11"/>
        <v>210869381</v>
      </c>
      <c r="H400" s="226"/>
      <c r="I400" s="3"/>
      <c r="J400" s="227"/>
      <c r="K400" s="227"/>
      <c r="L400" s="227"/>
    </row>
    <row r="401" ht="16.5" customHeight="1">
      <c r="A401" s="259">
        <v>46100.0</v>
      </c>
      <c r="B401" s="260" t="s">
        <v>613</v>
      </c>
      <c r="C401" s="261" t="s">
        <v>471</v>
      </c>
      <c r="D401" s="221"/>
      <c r="E401" s="207">
        <v>400000.0</v>
      </c>
      <c r="F401" s="221">
        <f t="shared" si="11"/>
        <v>210469381</v>
      </c>
      <c r="H401" s="226"/>
      <c r="I401" s="3"/>
      <c r="J401" s="227"/>
      <c r="K401" s="227"/>
      <c r="L401" s="227"/>
    </row>
    <row r="402" ht="16.5" customHeight="1">
      <c r="A402" s="257">
        <v>46101.0</v>
      </c>
      <c r="B402" s="245" t="s">
        <v>614</v>
      </c>
      <c r="C402" s="258" t="s">
        <v>27</v>
      </c>
      <c r="D402" s="200"/>
      <c r="E402" s="252">
        <v>1.0110629E7</v>
      </c>
      <c r="F402" s="200">
        <f t="shared" si="11"/>
        <v>200358752</v>
      </c>
      <c r="H402" s="226"/>
      <c r="I402" s="3"/>
      <c r="J402" s="227"/>
      <c r="K402" s="227"/>
      <c r="L402" s="227"/>
    </row>
    <row r="403" ht="16.5" customHeight="1">
      <c r="A403" s="259">
        <v>46101.0</v>
      </c>
      <c r="B403" s="260" t="s">
        <v>614</v>
      </c>
      <c r="C403" s="261" t="s">
        <v>471</v>
      </c>
      <c r="D403" s="221"/>
      <c r="E403" s="207">
        <v>2569814.0</v>
      </c>
      <c r="F403" s="221">
        <f t="shared" si="11"/>
        <v>197788938</v>
      </c>
      <c r="H403" s="226"/>
      <c r="I403" s="3"/>
      <c r="J403" s="227"/>
      <c r="K403" s="227"/>
      <c r="L403" s="227"/>
    </row>
    <row r="404" ht="16.5" customHeight="1">
      <c r="A404" s="257">
        <v>46112.0</v>
      </c>
      <c r="B404" s="245" t="s">
        <v>615</v>
      </c>
      <c r="C404" s="258" t="s">
        <v>27</v>
      </c>
      <c r="D404" s="200"/>
      <c r="E404" s="252">
        <v>3400000.0</v>
      </c>
      <c r="F404" s="200">
        <f t="shared" si="11"/>
        <v>194388938</v>
      </c>
      <c r="H404" s="226"/>
      <c r="I404" s="3"/>
      <c r="J404" s="227"/>
      <c r="K404" s="227"/>
      <c r="L404" s="227"/>
    </row>
    <row r="405" ht="16.5" customHeight="1">
      <c r="A405" s="259">
        <v>46113.0</v>
      </c>
      <c r="B405" s="260" t="s">
        <v>616</v>
      </c>
      <c r="C405" s="261" t="s">
        <v>471</v>
      </c>
      <c r="D405" s="221"/>
      <c r="E405" s="207">
        <v>2236000.0</v>
      </c>
      <c r="F405" s="221">
        <f t="shared" si="11"/>
        <v>192152938</v>
      </c>
      <c r="H405" s="226"/>
      <c r="I405" s="3"/>
      <c r="J405" s="227"/>
      <c r="K405" s="227"/>
      <c r="L405" s="227"/>
    </row>
    <row r="406" ht="16.5" customHeight="1">
      <c r="A406" s="257">
        <v>46114.0</v>
      </c>
      <c r="B406" s="245" t="s">
        <v>617</v>
      </c>
      <c r="C406" s="258" t="s">
        <v>27</v>
      </c>
      <c r="D406" s="200"/>
      <c r="E406" s="252">
        <v>1803000.0</v>
      </c>
      <c r="F406" s="200">
        <f t="shared" si="11"/>
        <v>190349938</v>
      </c>
      <c r="H406" s="226"/>
      <c r="I406" s="3"/>
      <c r="J406" s="227"/>
      <c r="K406" s="227"/>
      <c r="L406" s="227"/>
    </row>
    <row r="407" ht="16.5" customHeight="1">
      <c r="A407" s="257">
        <v>46114.0</v>
      </c>
      <c r="B407" s="245" t="s">
        <v>618</v>
      </c>
      <c r="C407" s="258" t="s">
        <v>27</v>
      </c>
      <c r="D407" s="200"/>
      <c r="E407" s="252">
        <v>6.4E7</v>
      </c>
      <c r="F407" s="200">
        <f t="shared" si="11"/>
        <v>126349938</v>
      </c>
      <c r="H407" s="226"/>
      <c r="I407" s="3"/>
      <c r="J407" s="227"/>
      <c r="K407" s="227"/>
      <c r="L407" s="227"/>
    </row>
    <row r="408" ht="16.5" customHeight="1">
      <c r="A408" s="259">
        <v>46116.0</v>
      </c>
      <c r="B408" s="260" t="s">
        <v>619</v>
      </c>
      <c r="C408" s="261" t="s">
        <v>471</v>
      </c>
      <c r="D408" s="221"/>
      <c r="E408" s="207">
        <v>3000000.0</v>
      </c>
      <c r="F408" s="221">
        <f t="shared" si="11"/>
        <v>123349938</v>
      </c>
      <c r="H408" s="226"/>
      <c r="I408" s="3"/>
      <c r="J408" s="227"/>
      <c r="K408" s="227"/>
      <c r="L408" s="227"/>
    </row>
    <row r="409" ht="16.5" customHeight="1">
      <c r="A409" s="259">
        <v>46117.0</v>
      </c>
      <c r="B409" s="260" t="s">
        <v>620</v>
      </c>
      <c r="C409" s="261" t="s">
        <v>471</v>
      </c>
      <c r="D409" s="221"/>
      <c r="E409" s="207">
        <v>1300000.0</v>
      </c>
      <c r="F409" s="221">
        <f t="shared" si="11"/>
        <v>122049938</v>
      </c>
      <c r="H409" s="226"/>
      <c r="I409" s="3"/>
      <c r="J409" s="227"/>
      <c r="K409" s="227"/>
      <c r="L409" s="227"/>
    </row>
    <row r="410" ht="16.5" customHeight="1">
      <c r="A410" s="259">
        <v>46118.0</v>
      </c>
      <c r="B410" s="260" t="s">
        <v>621</v>
      </c>
      <c r="C410" s="261" t="s">
        <v>471</v>
      </c>
      <c r="D410" s="221"/>
      <c r="E410" s="207">
        <v>2437500.0</v>
      </c>
      <c r="F410" s="221">
        <f t="shared" si="11"/>
        <v>119612438</v>
      </c>
      <c r="H410" s="226"/>
      <c r="I410" s="3"/>
      <c r="J410" s="227"/>
      <c r="K410" s="227"/>
      <c r="L410" s="227"/>
    </row>
    <row r="411" ht="16.5" customHeight="1">
      <c r="A411" s="259">
        <v>46121.0</v>
      </c>
      <c r="B411" s="260" t="s">
        <v>622</v>
      </c>
      <c r="C411" s="261" t="s">
        <v>471</v>
      </c>
      <c r="D411" s="221"/>
      <c r="E411" s="207">
        <v>850000.0</v>
      </c>
      <c r="F411" s="221">
        <f t="shared" si="11"/>
        <v>118762438</v>
      </c>
      <c r="H411" s="226"/>
      <c r="I411" s="3"/>
      <c r="J411" s="227"/>
      <c r="K411" s="227"/>
      <c r="L411" s="227"/>
    </row>
    <row r="412" ht="16.5" customHeight="1">
      <c r="A412" s="259">
        <v>46121.0</v>
      </c>
      <c r="B412" s="260" t="s">
        <v>623</v>
      </c>
      <c r="C412" s="261" t="s">
        <v>471</v>
      </c>
      <c r="D412" s="221"/>
      <c r="E412" s="207">
        <v>317000.0</v>
      </c>
      <c r="F412" s="221">
        <f t="shared" si="11"/>
        <v>118445438</v>
      </c>
      <c r="H412" s="226"/>
      <c r="I412" s="3"/>
      <c r="J412" s="227"/>
      <c r="K412" s="227"/>
      <c r="L412" s="227"/>
    </row>
    <row r="413" ht="16.5" customHeight="1">
      <c r="A413" s="259">
        <v>46122.0</v>
      </c>
      <c r="B413" s="260" t="s">
        <v>624</v>
      </c>
      <c r="C413" s="261" t="s">
        <v>471</v>
      </c>
      <c r="D413" s="221"/>
      <c r="E413" s="207">
        <v>342000.0</v>
      </c>
      <c r="F413" s="221">
        <f t="shared" si="11"/>
        <v>118103438</v>
      </c>
      <c r="H413" s="226"/>
      <c r="I413" s="3"/>
      <c r="J413" s="227"/>
      <c r="K413" s="227"/>
      <c r="L413" s="227"/>
    </row>
    <row r="414" ht="16.5" customHeight="1">
      <c r="A414" s="259">
        <v>46122.0</v>
      </c>
      <c r="B414" s="260" t="s">
        <v>487</v>
      </c>
      <c r="C414" s="261" t="s">
        <v>471</v>
      </c>
      <c r="D414" s="221"/>
      <c r="E414" s="207">
        <v>2490000.0</v>
      </c>
      <c r="F414" s="221">
        <f t="shared" si="11"/>
        <v>115613438</v>
      </c>
      <c r="H414" s="226"/>
      <c r="I414" s="3"/>
      <c r="J414" s="227"/>
      <c r="K414" s="227"/>
      <c r="L414" s="227"/>
    </row>
    <row r="415" ht="16.5" customHeight="1">
      <c r="A415" s="259">
        <v>46126.0</v>
      </c>
      <c r="B415" s="260" t="s">
        <v>625</v>
      </c>
      <c r="C415" s="261" t="s">
        <v>471</v>
      </c>
      <c r="D415" s="221"/>
      <c r="E415" s="207">
        <v>2.98E7</v>
      </c>
      <c r="F415" s="221">
        <f t="shared" si="11"/>
        <v>85813438</v>
      </c>
      <c r="H415" s="226"/>
      <c r="I415" s="3"/>
      <c r="J415" s="227"/>
      <c r="K415" s="227"/>
      <c r="L415" s="227"/>
    </row>
    <row r="416" ht="16.5" customHeight="1">
      <c r="A416" s="259">
        <v>46126.0</v>
      </c>
      <c r="B416" s="260" t="s">
        <v>626</v>
      </c>
      <c r="C416" s="261" t="s">
        <v>471</v>
      </c>
      <c r="D416" s="221"/>
      <c r="E416" s="207">
        <v>1450000.0</v>
      </c>
      <c r="F416" s="221">
        <f t="shared" si="11"/>
        <v>84363438</v>
      </c>
      <c r="H416" s="226"/>
      <c r="I416" s="3"/>
      <c r="J416" s="227"/>
      <c r="K416" s="227"/>
      <c r="L416" s="227"/>
    </row>
    <row r="417" ht="16.5" customHeight="1">
      <c r="A417" s="257">
        <v>46126.0</v>
      </c>
      <c r="B417" s="245" t="s">
        <v>627</v>
      </c>
      <c r="C417" s="258" t="s">
        <v>27</v>
      </c>
      <c r="D417" s="200"/>
      <c r="E417" s="252">
        <v>2.0E7</v>
      </c>
      <c r="F417" s="200">
        <f t="shared" si="11"/>
        <v>64363438</v>
      </c>
      <c r="H417" s="226"/>
      <c r="I417" s="3"/>
      <c r="J417" s="227"/>
      <c r="K417" s="227"/>
      <c r="L417" s="227"/>
    </row>
    <row r="418" ht="16.5" customHeight="1">
      <c r="A418" s="259">
        <v>46127.0</v>
      </c>
      <c r="B418" s="260" t="s">
        <v>628</v>
      </c>
      <c r="C418" s="261" t="s">
        <v>471</v>
      </c>
      <c r="D418" s="221"/>
      <c r="E418" s="207">
        <v>2200000.0</v>
      </c>
      <c r="F418" s="221">
        <f t="shared" si="11"/>
        <v>62163438</v>
      </c>
      <c r="H418" s="226"/>
      <c r="I418" s="3"/>
      <c r="J418" s="227"/>
      <c r="K418" s="227"/>
      <c r="L418" s="227"/>
    </row>
    <row r="419" ht="16.5" customHeight="1">
      <c r="A419" s="271">
        <v>46133.0</v>
      </c>
      <c r="B419" s="272" t="s">
        <v>629</v>
      </c>
      <c r="C419" s="273" t="s">
        <v>27</v>
      </c>
      <c r="D419" s="274"/>
      <c r="E419" s="275">
        <v>1301575.0</v>
      </c>
      <c r="F419" s="274">
        <f t="shared" si="11"/>
        <v>60861863</v>
      </c>
      <c r="H419" s="226"/>
      <c r="I419" s="3"/>
      <c r="J419" s="227"/>
      <c r="K419" s="227"/>
      <c r="L419" s="227"/>
    </row>
    <row r="420" ht="16.5" customHeight="1">
      <c r="A420" s="257">
        <v>46135.0</v>
      </c>
      <c r="B420" s="245" t="s">
        <v>630</v>
      </c>
      <c r="C420" s="258" t="s">
        <v>27</v>
      </c>
      <c r="D420" s="200"/>
      <c r="E420" s="252">
        <v>1.0377795E7</v>
      </c>
      <c r="F420" s="200">
        <f t="shared" si="11"/>
        <v>50484068</v>
      </c>
      <c r="H420" s="226"/>
      <c r="I420" s="3"/>
      <c r="J420" s="227"/>
      <c r="K420" s="227"/>
      <c r="L420" s="227"/>
    </row>
    <row r="421" ht="16.5" customHeight="1">
      <c r="A421" s="259">
        <v>46135.0</v>
      </c>
      <c r="B421" s="260" t="s">
        <v>630</v>
      </c>
      <c r="C421" s="261" t="s">
        <v>471</v>
      </c>
      <c r="D421" s="221"/>
      <c r="E421" s="207">
        <v>3630960.0</v>
      </c>
      <c r="F421" s="221">
        <f t="shared" si="11"/>
        <v>46853108</v>
      </c>
      <c r="H421" s="226"/>
      <c r="I421" s="3"/>
      <c r="J421" s="227"/>
      <c r="K421" s="227"/>
      <c r="L421" s="227"/>
    </row>
    <row r="422" ht="16.5" customHeight="1">
      <c r="A422" s="259">
        <v>46140.0</v>
      </c>
      <c r="B422" s="260" t="s">
        <v>631</v>
      </c>
      <c r="C422" s="261" t="s">
        <v>27</v>
      </c>
      <c r="D422" s="221"/>
      <c r="E422" s="207">
        <v>1.5E7</v>
      </c>
      <c r="F422" s="221">
        <f t="shared" si="11"/>
        <v>31853108</v>
      </c>
      <c r="H422" s="226"/>
      <c r="I422" s="3"/>
      <c r="J422" s="227"/>
      <c r="K422" s="227"/>
      <c r="L422" s="227"/>
    </row>
    <row r="423" ht="16.5" customHeight="1">
      <c r="A423" s="259">
        <v>46140.0</v>
      </c>
      <c r="B423" s="260" t="s">
        <v>632</v>
      </c>
      <c r="C423" s="261" t="s">
        <v>27</v>
      </c>
      <c r="D423" s="221"/>
      <c r="E423" s="207">
        <v>4950000.0</v>
      </c>
      <c r="F423" s="221">
        <f t="shared" si="11"/>
        <v>26903108</v>
      </c>
      <c r="H423" s="226"/>
      <c r="I423" s="3"/>
      <c r="J423" s="227"/>
      <c r="K423" s="227"/>
      <c r="L423" s="227"/>
    </row>
    <row r="424" ht="16.5" customHeight="1">
      <c r="A424" s="259">
        <v>46140.0</v>
      </c>
      <c r="B424" s="260" t="s">
        <v>633</v>
      </c>
      <c r="C424" s="261" t="s">
        <v>27</v>
      </c>
      <c r="D424" s="221"/>
      <c r="E424" s="207">
        <v>9718148.0</v>
      </c>
      <c r="F424" s="221">
        <f t="shared" si="11"/>
        <v>17184960</v>
      </c>
      <c r="H424" s="226"/>
      <c r="I424" s="3"/>
      <c r="J424" s="227"/>
      <c r="K424" s="227"/>
      <c r="L424" s="227"/>
    </row>
    <row r="425" ht="16.5" customHeight="1">
      <c r="A425" s="259">
        <v>46143.0</v>
      </c>
      <c r="B425" s="260" t="s">
        <v>634</v>
      </c>
      <c r="C425" s="225"/>
      <c r="D425" s="207">
        <v>1.5012E9</v>
      </c>
      <c r="E425" s="84"/>
      <c r="F425" s="221">
        <f t="shared" si="11"/>
        <v>1518384960</v>
      </c>
      <c r="H425" s="226"/>
      <c r="I425" s="3"/>
      <c r="J425" s="227"/>
      <c r="K425" s="227"/>
      <c r="L425" s="227"/>
    </row>
    <row r="426" ht="16.5" customHeight="1">
      <c r="A426" s="259">
        <v>46146.0</v>
      </c>
      <c r="B426" s="260" t="s">
        <v>635</v>
      </c>
      <c r="C426" s="261" t="s">
        <v>27</v>
      </c>
      <c r="D426" s="221"/>
      <c r="E426" s="207">
        <v>4.0E7</v>
      </c>
      <c r="F426" s="221">
        <f t="shared" si="11"/>
        <v>1478384960</v>
      </c>
      <c r="H426" s="226"/>
      <c r="I426" s="3"/>
      <c r="J426" s="227"/>
      <c r="K426" s="227"/>
      <c r="L426" s="227"/>
    </row>
    <row r="427" ht="16.5" customHeight="1">
      <c r="A427" s="259">
        <v>46147.0</v>
      </c>
      <c r="B427" s="260" t="s">
        <v>636</v>
      </c>
      <c r="C427" s="261" t="s">
        <v>27</v>
      </c>
      <c r="D427" s="221"/>
      <c r="E427" s="207">
        <v>8.888E7</v>
      </c>
      <c r="F427" s="221">
        <f t="shared" si="11"/>
        <v>1389504960</v>
      </c>
      <c r="H427" s="226"/>
      <c r="I427" s="3"/>
      <c r="J427" s="227"/>
      <c r="K427" s="227"/>
      <c r="L427" s="227"/>
    </row>
    <row r="428" ht="16.5" customHeight="1">
      <c r="A428" s="259">
        <v>46148.0</v>
      </c>
      <c r="B428" s="260" t="s">
        <v>637</v>
      </c>
      <c r="C428" s="261" t="s">
        <v>27</v>
      </c>
      <c r="D428" s="221"/>
      <c r="E428" s="207">
        <v>5.0E7</v>
      </c>
      <c r="F428" s="221">
        <f t="shared" si="11"/>
        <v>1339504960</v>
      </c>
      <c r="H428" s="226"/>
      <c r="I428" s="3"/>
      <c r="J428" s="227"/>
      <c r="K428" s="227"/>
      <c r="L428" s="227"/>
    </row>
    <row r="429" ht="16.5" customHeight="1">
      <c r="A429" s="259">
        <v>46148.0</v>
      </c>
      <c r="B429" s="260" t="s">
        <v>638</v>
      </c>
      <c r="C429" s="261" t="s">
        <v>27</v>
      </c>
      <c r="D429" s="221"/>
      <c r="E429" s="207">
        <v>8400000.0</v>
      </c>
      <c r="F429" s="221">
        <f t="shared" si="11"/>
        <v>1331104960</v>
      </c>
      <c r="H429" s="226"/>
      <c r="I429" s="3"/>
      <c r="J429" s="227"/>
      <c r="K429" s="227"/>
      <c r="L429" s="227"/>
    </row>
    <row r="430" ht="16.5" customHeight="1">
      <c r="A430" s="259">
        <v>46150.0</v>
      </c>
      <c r="B430" s="260" t="s">
        <v>639</v>
      </c>
      <c r="C430" s="261" t="s">
        <v>27</v>
      </c>
      <c r="D430" s="221"/>
      <c r="E430" s="207">
        <v>1.8E8</v>
      </c>
      <c r="F430" s="221">
        <f t="shared" si="11"/>
        <v>1151104960</v>
      </c>
      <c r="H430" s="226"/>
      <c r="I430" s="3"/>
      <c r="J430" s="227"/>
      <c r="K430" s="227"/>
      <c r="L430" s="227"/>
    </row>
    <row r="431" ht="16.5" customHeight="1">
      <c r="A431" s="259">
        <v>46150.0</v>
      </c>
      <c r="B431" s="260" t="s">
        <v>640</v>
      </c>
      <c r="C431" s="261" t="s">
        <v>27</v>
      </c>
      <c r="D431" s="221"/>
      <c r="E431" s="207">
        <v>4.475E7</v>
      </c>
      <c r="F431" s="221">
        <f t="shared" si="11"/>
        <v>1106354960</v>
      </c>
      <c r="H431" s="226"/>
      <c r="I431" s="3"/>
      <c r="J431" s="227"/>
      <c r="K431" s="227"/>
      <c r="L431" s="227"/>
    </row>
    <row r="432" ht="16.5" customHeight="1">
      <c r="A432" s="259">
        <v>46151.0</v>
      </c>
      <c r="B432" s="260" t="s">
        <v>641</v>
      </c>
      <c r="C432" s="261" t="s">
        <v>27</v>
      </c>
      <c r="D432" s="221"/>
      <c r="E432" s="207">
        <v>6750000.0</v>
      </c>
      <c r="F432" s="221">
        <f t="shared" si="11"/>
        <v>1099604960</v>
      </c>
      <c r="H432" s="226"/>
      <c r="I432" s="3"/>
      <c r="J432" s="227"/>
      <c r="K432" s="227"/>
      <c r="L432" s="227"/>
    </row>
    <row r="433" ht="16.5" customHeight="1">
      <c r="A433" s="259">
        <v>46151.0</v>
      </c>
      <c r="B433" s="260" t="s">
        <v>642</v>
      </c>
      <c r="C433" s="261" t="s">
        <v>27</v>
      </c>
      <c r="D433" s="221"/>
      <c r="E433" s="207">
        <v>6725000.0</v>
      </c>
      <c r="F433" s="221">
        <f t="shared" si="11"/>
        <v>1092879960</v>
      </c>
      <c r="H433" s="226"/>
      <c r="I433" s="3"/>
      <c r="J433" s="227"/>
      <c r="K433" s="227"/>
      <c r="L433" s="227"/>
    </row>
    <row r="434" ht="16.5" customHeight="1">
      <c r="A434" s="259">
        <v>46153.0</v>
      </c>
      <c r="B434" s="260" t="s">
        <v>643</v>
      </c>
      <c r="C434" s="261" t="s">
        <v>27</v>
      </c>
      <c r="D434" s="221"/>
      <c r="E434" s="207">
        <v>1.0E7</v>
      </c>
      <c r="F434" s="221">
        <f t="shared" si="11"/>
        <v>1082879960</v>
      </c>
      <c r="H434" s="226"/>
      <c r="I434" s="3"/>
      <c r="J434" s="227"/>
      <c r="K434" s="227"/>
      <c r="L434" s="227"/>
    </row>
    <row r="435" ht="16.5" customHeight="1">
      <c r="A435" s="259">
        <v>46154.0</v>
      </c>
      <c r="B435" s="260" t="s">
        <v>644</v>
      </c>
      <c r="C435" s="261" t="s">
        <v>471</v>
      </c>
      <c r="D435" s="221"/>
      <c r="E435" s="207">
        <v>3145000.0</v>
      </c>
      <c r="F435" s="221">
        <f t="shared" si="11"/>
        <v>1079734960</v>
      </c>
      <c r="H435" s="226"/>
      <c r="I435" s="3"/>
      <c r="J435" s="227"/>
      <c r="K435" s="227"/>
      <c r="L435" s="227"/>
    </row>
    <row r="436" ht="16.5" customHeight="1">
      <c r="A436" s="259">
        <v>46155.0</v>
      </c>
      <c r="B436" s="260" t="s">
        <v>645</v>
      </c>
      <c r="C436" s="261" t="s">
        <v>27</v>
      </c>
      <c r="D436" s="221"/>
      <c r="E436" s="207">
        <v>1.0110629E7</v>
      </c>
      <c r="F436" s="221">
        <f t="shared" si="11"/>
        <v>1069624331</v>
      </c>
      <c r="H436" s="226"/>
      <c r="I436" s="3"/>
      <c r="J436" s="227"/>
      <c r="K436" s="227"/>
      <c r="L436" s="227"/>
    </row>
    <row r="437" ht="16.5" customHeight="1">
      <c r="A437" s="259">
        <v>46155.0</v>
      </c>
      <c r="B437" s="260" t="s">
        <v>646</v>
      </c>
      <c r="C437" s="261" t="s">
        <v>27</v>
      </c>
      <c r="D437" s="221"/>
      <c r="E437" s="207">
        <v>3.528E7</v>
      </c>
      <c r="F437" s="221">
        <f t="shared" si="11"/>
        <v>1034344331</v>
      </c>
      <c r="H437" s="226"/>
      <c r="I437" s="3"/>
      <c r="J437" s="227"/>
      <c r="K437" s="227"/>
      <c r="L437" s="227"/>
    </row>
    <row r="438" ht="16.5" customHeight="1">
      <c r="A438" s="259">
        <v>46155.0</v>
      </c>
      <c r="B438" s="260" t="s">
        <v>647</v>
      </c>
      <c r="C438" s="261" t="s">
        <v>471</v>
      </c>
      <c r="D438" s="221"/>
      <c r="E438" s="207">
        <v>5000000.0</v>
      </c>
      <c r="F438" s="221">
        <f t="shared" si="11"/>
        <v>1029344331</v>
      </c>
      <c r="H438" s="226"/>
      <c r="I438" s="3"/>
      <c r="J438" s="227"/>
      <c r="K438" s="227"/>
      <c r="L438" s="227"/>
    </row>
    <row r="439" ht="16.5" customHeight="1">
      <c r="A439" s="259">
        <v>46155.0</v>
      </c>
      <c r="B439" s="260" t="s">
        <v>648</v>
      </c>
      <c r="C439" s="261" t="s">
        <v>27</v>
      </c>
      <c r="D439" s="221"/>
      <c r="E439" s="207">
        <v>7500000.0</v>
      </c>
      <c r="F439" s="221">
        <f t="shared" si="11"/>
        <v>1021844331</v>
      </c>
      <c r="H439" s="226"/>
      <c r="I439" s="3"/>
      <c r="J439" s="227"/>
      <c r="K439" s="227"/>
      <c r="L439" s="227"/>
    </row>
    <row r="440" ht="16.5" customHeight="1">
      <c r="A440" s="259">
        <v>46162.0</v>
      </c>
      <c r="B440" s="260" t="s">
        <v>649</v>
      </c>
      <c r="C440" s="261" t="s">
        <v>27</v>
      </c>
      <c r="D440" s="221"/>
      <c r="E440" s="207">
        <v>5780000.0</v>
      </c>
      <c r="F440" s="221">
        <f t="shared" si="11"/>
        <v>1016064331</v>
      </c>
      <c r="H440" s="226"/>
      <c r="I440" s="3"/>
      <c r="J440" s="227"/>
      <c r="K440" s="227"/>
      <c r="L440" s="227"/>
    </row>
    <row r="441" ht="16.5" customHeight="1">
      <c r="A441" s="259">
        <v>46164.0</v>
      </c>
      <c r="B441" s="260" t="s">
        <v>650</v>
      </c>
      <c r="C441" s="261" t="s">
        <v>27</v>
      </c>
      <c r="D441" s="221"/>
      <c r="E441" s="207">
        <v>1.3050304E7</v>
      </c>
      <c r="F441" s="221">
        <f t="shared" si="11"/>
        <v>1003014027</v>
      </c>
      <c r="H441" s="226"/>
      <c r="I441" s="3"/>
      <c r="J441" s="227"/>
      <c r="K441" s="227"/>
      <c r="L441" s="227"/>
    </row>
    <row r="442" ht="16.5" customHeight="1">
      <c r="A442" s="259">
        <v>46164.0</v>
      </c>
      <c r="B442" s="260" t="s">
        <v>650</v>
      </c>
      <c r="C442" s="261" t="s">
        <v>27</v>
      </c>
      <c r="D442" s="221"/>
      <c r="E442" s="207">
        <v>1089669.0</v>
      </c>
      <c r="F442" s="221">
        <f t="shared" si="11"/>
        <v>1001924358</v>
      </c>
      <c r="H442" s="226"/>
      <c r="I442" s="3"/>
      <c r="J442" s="227"/>
      <c r="K442" s="227"/>
      <c r="L442" s="227"/>
    </row>
    <row r="443" ht="16.5" customHeight="1">
      <c r="A443" s="259">
        <v>46165.0</v>
      </c>
      <c r="B443" s="260" t="s">
        <v>651</v>
      </c>
      <c r="C443" s="261" t="s">
        <v>27</v>
      </c>
      <c r="D443" s="221"/>
      <c r="E443" s="207">
        <v>722000.0</v>
      </c>
      <c r="F443" s="221">
        <f t="shared" si="11"/>
        <v>1001202358</v>
      </c>
      <c r="H443" s="226"/>
      <c r="I443" s="3"/>
      <c r="J443" s="227"/>
      <c r="K443" s="227"/>
      <c r="L443" s="227"/>
    </row>
    <row r="444" ht="16.5" customHeight="1">
      <c r="A444" s="259">
        <v>46167.0</v>
      </c>
      <c r="B444" s="260" t="s">
        <v>652</v>
      </c>
      <c r="C444" s="261" t="s">
        <v>58</v>
      </c>
      <c r="D444" s="221"/>
      <c r="E444" s="207">
        <v>2000000.0</v>
      </c>
      <c r="F444" s="221">
        <f t="shared" si="11"/>
        <v>999202358</v>
      </c>
      <c r="H444" s="226"/>
      <c r="I444" s="3"/>
      <c r="J444" s="227"/>
      <c r="K444" s="227"/>
      <c r="L444" s="227"/>
    </row>
    <row r="445" ht="16.5" customHeight="1">
      <c r="A445" s="259">
        <v>46167.0</v>
      </c>
      <c r="B445" s="260" t="s">
        <v>653</v>
      </c>
      <c r="C445" s="261" t="s">
        <v>27</v>
      </c>
      <c r="D445" s="221"/>
      <c r="E445" s="207">
        <v>1.06974E7</v>
      </c>
      <c r="F445" s="221">
        <f t="shared" si="11"/>
        <v>988504958</v>
      </c>
      <c r="H445" s="226"/>
      <c r="I445" s="3"/>
      <c r="J445" s="227"/>
      <c r="K445" s="227"/>
      <c r="L445" s="227"/>
    </row>
    <row r="446" ht="16.5" customHeight="1">
      <c r="A446" s="259">
        <v>46168.0</v>
      </c>
      <c r="B446" s="260" t="s">
        <v>654</v>
      </c>
      <c r="C446" s="261" t="s">
        <v>27</v>
      </c>
      <c r="D446" s="221"/>
      <c r="E446" s="207">
        <v>5000000.0</v>
      </c>
      <c r="F446" s="221">
        <f t="shared" si="11"/>
        <v>983504958</v>
      </c>
      <c r="H446" s="226"/>
      <c r="I446" s="3"/>
      <c r="J446" s="227"/>
      <c r="K446" s="227"/>
      <c r="L446" s="227"/>
    </row>
    <row r="447" ht="16.5" customHeight="1">
      <c r="A447" s="259">
        <v>46170.0</v>
      </c>
      <c r="B447" s="260" t="s">
        <v>655</v>
      </c>
      <c r="C447" s="261" t="s">
        <v>27</v>
      </c>
      <c r="D447" s="221"/>
      <c r="E447" s="207">
        <v>1540000.0</v>
      </c>
      <c r="F447" s="221">
        <f t="shared" si="11"/>
        <v>981964958</v>
      </c>
      <c r="H447" s="226"/>
      <c r="I447" s="3"/>
      <c r="J447" s="227"/>
      <c r="K447" s="227"/>
      <c r="L447" s="227"/>
    </row>
    <row r="448" ht="16.5" customHeight="1">
      <c r="A448" s="259">
        <v>46172.0</v>
      </c>
      <c r="B448" s="260" t="s">
        <v>445</v>
      </c>
      <c r="C448" s="261" t="s">
        <v>27</v>
      </c>
      <c r="D448" s="221"/>
      <c r="E448" s="207">
        <v>5000000.0</v>
      </c>
      <c r="F448" s="221">
        <f t="shared" si="11"/>
        <v>976964958</v>
      </c>
      <c r="H448" s="226"/>
      <c r="I448" s="3"/>
      <c r="J448" s="227"/>
      <c r="K448" s="227"/>
      <c r="L448" s="227"/>
    </row>
    <row r="449" ht="16.5" customHeight="1">
      <c r="A449" s="259">
        <v>46178.0</v>
      </c>
      <c r="B449" s="260" t="s">
        <v>656</v>
      </c>
      <c r="C449" s="261" t="s">
        <v>27</v>
      </c>
      <c r="D449" s="221"/>
      <c r="E449" s="207">
        <v>3.0E7</v>
      </c>
      <c r="F449" s="221">
        <f t="shared" si="11"/>
        <v>946964958</v>
      </c>
      <c r="H449" s="226"/>
      <c r="I449" s="3"/>
      <c r="J449" s="227"/>
      <c r="K449" s="227"/>
      <c r="L449" s="227"/>
    </row>
    <row r="450" ht="16.5" customHeight="1">
      <c r="A450" s="259">
        <v>46178.0</v>
      </c>
      <c r="B450" s="260" t="s">
        <v>657</v>
      </c>
      <c r="C450" s="261" t="s">
        <v>27</v>
      </c>
      <c r="D450" s="221"/>
      <c r="E450" s="207">
        <v>1.155E7</v>
      </c>
      <c r="F450" s="221">
        <f t="shared" si="11"/>
        <v>935414958</v>
      </c>
      <c r="H450" s="226"/>
      <c r="I450" s="3"/>
      <c r="J450" s="227"/>
      <c r="K450" s="227"/>
      <c r="L450" s="227"/>
    </row>
    <row r="451" ht="16.5" customHeight="1">
      <c r="A451" s="259">
        <v>46183.0</v>
      </c>
      <c r="B451" s="260" t="s">
        <v>658</v>
      </c>
      <c r="C451" s="261" t="s">
        <v>27</v>
      </c>
      <c r="D451" s="221"/>
      <c r="E451" s="207">
        <v>2825000.0</v>
      </c>
      <c r="F451" s="221">
        <f t="shared" si="11"/>
        <v>932589958</v>
      </c>
      <c r="H451" s="226"/>
      <c r="I451" s="3"/>
      <c r="J451" s="227"/>
      <c r="K451" s="227"/>
      <c r="L451" s="227"/>
    </row>
    <row r="452" ht="16.5" customHeight="1">
      <c r="A452" s="259">
        <v>46186.0</v>
      </c>
      <c r="B452" s="260" t="s">
        <v>659</v>
      </c>
      <c r="C452" s="261" t="s">
        <v>27</v>
      </c>
      <c r="D452" s="221"/>
      <c r="E452" s="207">
        <v>4.451E7</v>
      </c>
      <c r="F452" s="221">
        <f t="shared" si="11"/>
        <v>888079958</v>
      </c>
      <c r="H452" s="226"/>
      <c r="I452" s="3"/>
      <c r="J452" s="227"/>
      <c r="K452" s="227"/>
      <c r="L452" s="227"/>
    </row>
    <row r="453" ht="16.5" customHeight="1">
      <c r="A453" s="259">
        <v>46187.0</v>
      </c>
      <c r="B453" s="260" t="s">
        <v>660</v>
      </c>
      <c r="C453" s="261" t="s">
        <v>27</v>
      </c>
      <c r="D453" s="221"/>
      <c r="E453" s="207">
        <v>4.0E7</v>
      </c>
      <c r="F453" s="221">
        <f t="shared" si="11"/>
        <v>848079958</v>
      </c>
      <c r="H453" s="226"/>
      <c r="I453" s="3"/>
      <c r="J453" s="227"/>
      <c r="K453" s="227"/>
      <c r="L453" s="227"/>
    </row>
    <row r="454" ht="16.5" customHeight="1">
      <c r="A454" s="259">
        <v>46190.0</v>
      </c>
      <c r="B454" s="260" t="s">
        <v>661</v>
      </c>
      <c r="C454" s="261" t="s">
        <v>27</v>
      </c>
      <c r="D454" s="221"/>
      <c r="E454" s="207">
        <v>1.0E8</v>
      </c>
      <c r="F454" s="221">
        <f t="shared" si="11"/>
        <v>748079958</v>
      </c>
      <c r="H454" s="226"/>
      <c r="I454" s="3"/>
      <c r="J454" s="227"/>
      <c r="K454" s="227"/>
      <c r="L454" s="227"/>
    </row>
    <row r="455" ht="16.5" customHeight="1">
      <c r="A455" s="259">
        <v>46190.0</v>
      </c>
      <c r="B455" s="260" t="s">
        <v>662</v>
      </c>
      <c r="C455" s="261" t="s">
        <v>27</v>
      </c>
      <c r="D455" s="221"/>
      <c r="E455" s="207">
        <v>1.0E7</v>
      </c>
      <c r="F455" s="221">
        <f t="shared" si="11"/>
        <v>738079958</v>
      </c>
      <c r="H455" s="226"/>
      <c r="I455" s="3"/>
      <c r="J455" s="227"/>
      <c r="K455" s="227"/>
      <c r="L455" s="227"/>
    </row>
    <row r="456" ht="16.5" customHeight="1">
      <c r="A456" s="259">
        <v>46191.0</v>
      </c>
      <c r="B456" s="260" t="s">
        <v>663</v>
      </c>
      <c r="C456" s="261" t="s">
        <v>471</v>
      </c>
      <c r="D456" s="221"/>
      <c r="E456" s="207">
        <v>1332000.0</v>
      </c>
      <c r="F456" s="221">
        <f t="shared" si="11"/>
        <v>736747958</v>
      </c>
      <c r="H456" s="226"/>
      <c r="I456" s="3"/>
      <c r="J456" s="227"/>
      <c r="K456" s="227"/>
      <c r="L456" s="227"/>
    </row>
    <row r="457" ht="16.5" customHeight="1">
      <c r="A457" s="259">
        <v>46191.0</v>
      </c>
      <c r="B457" s="260" t="s">
        <v>664</v>
      </c>
      <c r="C457" s="261" t="s">
        <v>27</v>
      </c>
      <c r="D457" s="221"/>
      <c r="E457" s="207">
        <v>1.0110629E7</v>
      </c>
      <c r="F457" s="221">
        <f t="shared" si="11"/>
        <v>726637329</v>
      </c>
      <c r="H457" s="226"/>
      <c r="I457" s="3"/>
      <c r="J457" s="227"/>
      <c r="K457" s="227"/>
      <c r="L457" s="227"/>
    </row>
    <row r="458" ht="16.5" customHeight="1">
      <c r="A458" s="259">
        <v>46191.0</v>
      </c>
      <c r="B458" s="260" t="s">
        <v>665</v>
      </c>
      <c r="C458" s="261" t="s">
        <v>27</v>
      </c>
      <c r="D458" s="221"/>
      <c r="E458" s="207">
        <v>4.0E7</v>
      </c>
      <c r="F458" s="221">
        <f t="shared" si="11"/>
        <v>686637329</v>
      </c>
      <c r="H458" s="226"/>
      <c r="I458" s="3"/>
      <c r="J458" s="227"/>
      <c r="K458" s="227"/>
      <c r="L458" s="227"/>
    </row>
    <row r="459" ht="16.5" customHeight="1">
      <c r="A459" s="259">
        <v>46195.0</v>
      </c>
      <c r="B459" s="260" t="s">
        <v>666</v>
      </c>
      <c r="C459" s="261" t="s">
        <v>471</v>
      </c>
      <c r="D459" s="221"/>
      <c r="E459" s="207">
        <v>7000000.0</v>
      </c>
      <c r="F459" s="221">
        <f t="shared" si="11"/>
        <v>679637329</v>
      </c>
      <c r="H459" s="226"/>
      <c r="I459" s="3"/>
      <c r="J459" s="227"/>
      <c r="K459" s="227"/>
      <c r="L459" s="227"/>
    </row>
    <row r="460" ht="16.5" customHeight="1">
      <c r="A460" s="259">
        <v>46195.0</v>
      </c>
      <c r="B460" s="260" t="s">
        <v>667</v>
      </c>
      <c r="C460" s="261" t="s">
        <v>27</v>
      </c>
      <c r="D460" s="221"/>
      <c r="E460" s="207">
        <v>6803075.0</v>
      </c>
      <c r="F460" s="221">
        <f t="shared" si="11"/>
        <v>672834254</v>
      </c>
      <c r="H460" s="226"/>
      <c r="I460" s="3"/>
      <c r="J460" s="227"/>
      <c r="K460" s="227"/>
      <c r="L460" s="227"/>
    </row>
    <row r="461" ht="16.5" customHeight="1">
      <c r="A461" s="259">
        <v>46195.0</v>
      </c>
      <c r="B461" s="260" t="s">
        <v>668</v>
      </c>
      <c r="C461" s="261" t="s">
        <v>27</v>
      </c>
      <c r="D461" s="221"/>
      <c r="E461" s="207">
        <v>1.8847849E7</v>
      </c>
      <c r="F461" s="221">
        <f t="shared" si="11"/>
        <v>653986405</v>
      </c>
      <c r="H461" s="226"/>
      <c r="I461" s="3"/>
      <c r="J461" s="227"/>
      <c r="K461" s="227"/>
      <c r="L461" s="227"/>
    </row>
    <row r="462" ht="16.5" customHeight="1">
      <c r="A462" s="259">
        <v>46195.0</v>
      </c>
      <c r="B462" s="260" t="s">
        <v>669</v>
      </c>
      <c r="C462" s="261" t="s">
        <v>27</v>
      </c>
      <c r="D462" s="221"/>
      <c r="E462" s="207">
        <v>5783000.0</v>
      </c>
      <c r="F462" s="221">
        <f t="shared" si="11"/>
        <v>648203405</v>
      </c>
      <c r="H462" s="226"/>
      <c r="I462" s="3"/>
      <c r="J462" s="227"/>
      <c r="K462" s="227"/>
      <c r="L462" s="227"/>
    </row>
    <row r="463" ht="16.5" customHeight="1">
      <c r="A463" s="259">
        <v>46196.0</v>
      </c>
      <c r="B463" s="260" t="s">
        <v>670</v>
      </c>
      <c r="C463" s="261" t="s">
        <v>27</v>
      </c>
      <c r="D463" s="221"/>
      <c r="E463" s="207">
        <v>3.135E7</v>
      </c>
      <c r="F463" s="221">
        <f t="shared" si="11"/>
        <v>616853405</v>
      </c>
      <c r="H463" s="226"/>
      <c r="I463" s="3"/>
      <c r="J463" s="227"/>
      <c r="K463" s="227"/>
      <c r="L463" s="227"/>
    </row>
    <row r="464" ht="16.5" customHeight="1">
      <c r="A464" s="259">
        <v>46204.0</v>
      </c>
      <c r="B464" s="260" t="s">
        <v>671</v>
      </c>
      <c r="C464" s="261" t="s">
        <v>27</v>
      </c>
      <c r="D464" s="221"/>
      <c r="E464" s="207">
        <v>5000000.0</v>
      </c>
      <c r="F464" s="221">
        <f t="shared" si="11"/>
        <v>611853405</v>
      </c>
      <c r="H464" s="226"/>
      <c r="I464" s="3"/>
      <c r="J464" s="227"/>
      <c r="K464" s="227"/>
      <c r="L464" s="227"/>
    </row>
    <row r="465" ht="16.5" customHeight="1">
      <c r="A465" s="259">
        <v>46205.0</v>
      </c>
      <c r="B465" s="260" t="s">
        <v>672</v>
      </c>
      <c r="C465" s="261" t="s">
        <v>27</v>
      </c>
      <c r="D465" s="221"/>
      <c r="E465" s="207">
        <v>4480000.0</v>
      </c>
      <c r="F465" s="221">
        <f t="shared" si="11"/>
        <v>607373405</v>
      </c>
      <c r="H465" s="226"/>
      <c r="I465" s="3"/>
      <c r="J465" s="227"/>
      <c r="K465" s="227"/>
      <c r="L465" s="227"/>
    </row>
    <row r="466" ht="16.5" customHeight="1">
      <c r="A466" s="259">
        <v>46205.0</v>
      </c>
      <c r="B466" s="260" t="s">
        <v>673</v>
      </c>
      <c r="C466" s="261" t="s">
        <v>27</v>
      </c>
      <c r="D466" s="221"/>
      <c r="E466" s="207">
        <v>4.7477E7</v>
      </c>
      <c r="F466" s="221">
        <f t="shared" si="11"/>
        <v>559896405</v>
      </c>
      <c r="H466" s="226"/>
      <c r="I466" s="3"/>
      <c r="J466" s="227"/>
      <c r="K466" s="227"/>
      <c r="L466" s="227"/>
    </row>
    <row r="467" ht="16.5" customHeight="1">
      <c r="A467" s="259">
        <v>46206.0</v>
      </c>
      <c r="B467" s="260" t="s">
        <v>674</v>
      </c>
      <c r="C467" s="261" t="s">
        <v>27</v>
      </c>
      <c r="D467" s="221"/>
      <c r="E467" s="207">
        <v>2.2275E7</v>
      </c>
      <c r="F467" s="221">
        <f t="shared" si="11"/>
        <v>537621405</v>
      </c>
      <c r="H467" s="226"/>
      <c r="I467" s="3"/>
      <c r="J467" s="227"/>
      <c r="K467" s="227"/>
      <c r="L467" s="227"/>
    </row>
    <row r="468" ht="16.5" customHeight="1">
      <c r="A468" s="276">
        <v>46207.0</v>
      </c>
      <c r="B468" s="260" t="s">
        <v>675</v>
      </c>
      <c r="C468" s="261" t="s">
        <v>27</v>
      </c>
      <c r="D468" s="221"/>
      <c r="E468" s="207">
        <v>5.0E7</v>
      </c>
      <c r="F468" s="221">
        <f t="shared" si="11"/>
        <v>487621405</v>
      </c>
      <c r="H468" s="226"/>
      <c r="I468" s="3"/>
      <c r="J468" s="227"/>
      <c r="K468" s="227"/>
      <c r="L468" s="227"/>
    </row>
    <row r="469" ht="16.5" customHeight="1">
      <c r="A469" s="259">
        <v>46210.0</v>
      </c>
      <c r="B469" s="260" t="s">
        <v>676</v>
      </c>
      <c r="C469" s="261" t="s">
        <v>27</v>
      </c>
      <c r="D469" s="221"/>
      <c r="E469" s="207">
        <v>3399451.0</v>
      </c>
      <c r="F469" s="221">
        <f t="shared" si="11"/>
        <v>484221954</v>
      </c>
      <c r="H469" s="226"/>
      <c r="I469" s="3"/>
      <c r="J469" s="227"/>
      <c r="K469" s="227"/>
      <c r="L469" s="227"/>
    </row>
    <row r="470" ht="16.5" customHeight="1">
      <c r="A470" s="259">
        <v>46211.0</v>
      </c>
      <c r="B470" s="260" t="s">
        <v>677</v>
      </c>
      <c r="C470" s="261" t="s">
        <v>27</v>
      </c>
      <c r="D470" s="221"/>
      <c r="E470" s="207">
        <v>3521435.0</v>
      </c>
      <c r="F470" s="221">
        <f t="shared" si="11"/>
        <v>480700519</v>
      </c>
      <c r="H470" s="226"/>
      <c r="I470" s="3"/>
      <c r="J470" s="227"/>
      <c r="K470" s="227"/>
      <c r="L470" s="227"/>
    </row>
    <row r="471" ht="16.5" customHeight="1">
      <c r="A471" s="259">
        <v>46212.0</v>
      </c>
      <c r="B471" s="260" t="s">
        <v>678</v>
      </c>
      <c r="C471" s="261" t="s">
        <v>27</v>
      </c>
      <c r="D471" s="221"/>
      <c r="E471" s="207">
        <v>3.87735E7</v>
      </c>
      <c r="F471" s="221">
        <f t="shared" si="11"/>
        <v>441927019</v>
      </c>
      <c r="H471" s="226"/>
      <c r="I471" s="3"/>
      <c r="J471" s="227"/>
      <c r="K471" s="227"/>
      <c r="L471" s="227"/>
    </row>
    <row r="472" ht="16.5" customHeight="1">
      <c r="A472" s="259">
        <v>46212.0</v>
      </c>
      <c r="B472" s="260" t="s">
        <v>679</v>
      </c>
      <c r="C472" s="261" t="s">
        <v>27</v>
      </c>
      <c r="D472" s="221"/>
      <c r="E472" s="207">
        <v>4575000.0</v>
      </c>
      <c r="F472" s="221">
        <f t="shared" si="11"/>
        <v>437352019</v>
      </c>
      <c r="H472" s="226"/>
      <c r="I472" s="3"/>
      <c r="J472" s="227"/>
      <c r="K472" s="227"/>
      <c r="L472" s="227"/>
    </row>
    <row r="473" ht="16.5" customHeight="1">
      <c r="A473" s="259">
        <v>46212.0</v>
      </c>
      <c r="B473" s="260" t="s">
        <v>680</v>
      </c>
      <c r="C473" s="261" t="s">
        <v>27</v>
      </c>
      <c r="D473" s="221"/>
      <c r="E473" s="207">
        <v>6000000.0</v>
      </c>
      <c r="F473" s="221">
        <f t="shared" si="11"/>
        <v>431352019</v>
      </c>
      <c r="H473" s="226"/>
      <c r="I473" s="3"/>
      <c r="J473" s="227"/>
      <c r="K473" s="227"/>
      <c r="L473" s="227"/>
    </row>
    <row r="474" ht="16.5" customHeight="1">
      <c r="A474" s="259">
        <v>46212.0</v>
      </c>
      <c r="B474" s="260" t="s">
        <v>681</v>
      </c>
      <c r="C474" s="261" t="s">
        <v>27</v>
      </c>
      <c r="D474" s="221"/>
      <c r="E474" s="207">
        <v>6850000.0</v>
      </c>
      <c r="F474" s="221">
        <f t="shared" si="11"/>
        <v>424502019</v>
      </c>
      <c r="H474" s="226"/>
      <c r="I474" s="3"/>
      <c r="J474" s="227"/>
      <c r="K474" s="227"/>
      <c r="L474" s="227"/>
    </row>
    <row r="475" ht="16.5" customHeight="1">
      <c r="A475" s="259">
        <v>46216.0</v>
      </c>
      <c r="B475" s="260" t="s">
        <v>682</v>
      </c>
      <c r="C475" s="261" t="s">
        <v>27</v>
      </c>
      <c r="D475" s="221"/>
      <c r="E475" s="207">
        <v>6824300.0</v>
      </c>
      <c r="F475" s="221">
        <f t="shared" si="11"/>
        <v>417677719</v>
      </c>
      <c r="H475" s="226"/>
      <c r="I475" s="3"/>
      <c r="J475" s="227"/>
      <c r="K475" s="227"/>
      <c r="L475" s="227"/>
    </row>
    <row r="476" ht="16.5" customHeight="1">
      <c r="A476" s="259">
        <v>46217.0</v>
      </c>
      <c r="B476" s="260" t="s">
        <v>683</v>
      </c>
      <c r="C476" s="261" t="s">
        <v>27</v>
      </c>
      <c r="D476" s="221"/>
      <c r="E476" s="207">
        <v>5.7358298E7</v>
      </c>
      <c r="F476" s="221">
        <f t="shared" si="11"/>
        <v>360319421</v>
      </c>
      <c r="H476" s="226"/>
      <c r="I476" s="3"/>
      <c r="J476" s="227"/>
      <c r="K476" s="227"/>
      <c r="L476" s="227"/>
    </row>
    <row r="477" ht="16.5" customHeight="1">
      <c r="A477" s="259">
        <v>46217.0</v>
      </c>
      <c r="B477" s="260" t="s">
        <v>611</v>
      </c>
      <c r="C477" s="261" t="s">
        <v>58</v>
      </c>
      <c r="D477" s="221"/>
      <c r="E477" s="207">
        <v>900000.0</v>
      </c>
      <c r="F477" s="221">
        <f t="shared" si="11"/>
        <v>359419421</v>
      </c>
      <c r="H477" s="226"/>
      <c r="I477" s="3"/>
      <c r="J477" s="227"/>
      <c r="K477" s="227"/>
      <c r="L477" s="227"/>
    </row>
    <row r="478" ht="16.5" customHeight="1">
      <c r="A478" s="259">
        <v>46218.0</v>
      </c>
      <c r="B478" s="260" t="s">
        <v>684</v>
      </c>
      <c r="C478" s="261" t="s">
        <v>27</v>
      </c>
      <c r="D478" s="221"/>
      <c r="E478" s="207">
        <v>7.703E7</v>
      </c>
      <c r="F478" s="221">
        <f t="shared" si="11"/>
        <v>282389421</v>
      </c>
      <c r="H478" s="226"/>
      <c r="I478" s="3"/>
      <c r="J478" s="227"/>
      <c r="K478" s="227"/>
      <c r="L478" s="227"/>
    </row>
    <row r="479" ht="16.5" customHeight="1">
      <c r="A479" s="259">
        <v>46218.0</v>
      </c>
      <c r="B479" s="260" t="s">
        <v>663</v>
      </c>
      <c r="C479" s="261" t="s">
        <v>471</v>
      </c>
      <c r="D479" s="221"/>
      <c r="E479" s="207">
        <v>1332000.0</v>
      </c>
      <c r="F479" s="221">
        <f t="shared" si="11"/>
        <v>281057421</v>
      </c>
      <c r="H479" s="226"/>
      <c r="I479" s="3"/>
      <c r="J479" s="227"/>
      <c r="K479" s="227"/>
      <c r="L479" s="227"/>
    </row>
    <row r="480" ht="16.5" customHeight="1">
      <c r="A480" s="259">
        <v>46219.0</v>
      </c>
      <c r="B480" s="260" t="s">
        <v>636</v>
      </c>
      <c r="C480" s="261" t="s">
        <v>27</v>
      </c>
      <c r="D480" s="221"/>
      <c r="E480" s="207">
        <v>5.4815E7</v>
      </c>
      <c r="F480" s="221">
        <f t="shared" si="11"/>
        <v>226242421</v>
      </c>
      <c r="H480" s="226"/>
      <c r="I480" s="3"/>
      <c r="J480" s="227"/>
      <c r="K480" s="227"/>
      <c r="L480" s="227"/>
    </row>
    <row r="481" ht="16.5" customHeight="1">
      <c r="A481" s="259">
        <v>46220.0</v>
      </c>
      <c r="B481" s="260" t="s">
        <v>685</v>
      </c>
      <c r="C481" s="261" t="s">
        <v>27</v>
      </c>
      <c r="D481" s="221"/>
      <c r="E481" s="207">
        <v>1.045056E7</v>
      </c>
      <c r="F481" s="221">
        <f t="shared" si="11"/>
        <v>215791861</v>
      </c>
      <c r="H481" s="226"/>
      <c r="I481" s="3"/>
      <c r="J481" s="227"/>
      <c r="K481" s="227"/>
      <c r="L481" s="227"/>
    </row>
    <row r="482" ht="16.5" customHeight="1">
      <c r="A482" s="259">
        <v>46221.0</v>
      </c>
      <c r="B482" s="260" t="s">
        <v>686</v>
      </c>
      <c r="C482" s="261" t="s">
        <v>27</v>
      </c>
      <c r="D482" s="221"/>
      <c r="E482" s="207">
        <v>1.7433191E7</v>
      </c>
      <c r="F482" s="221">
        <f t="shared" si="11"/>
        <v>198358670</v>
      </c>
      <c r="H482" s="226"/>
      <c r="I482" s="3"/>
      <c r="J482" s="227"/>
      <c r="K482" s="227"/>
      <c r="L482" s="227"/>
    </row>
    <row r="483" ht="16.5" customHeight="1">
      <c r="A483" s="259">
        <v>46224.0</v>
      </c>
      <c r="B483" s="260" t="s">
        <v>445</v>
      </c>
      <c r="C483" s="261" t="s">
        <v>27</v>
      </c>
      <c r="D483" s="221"/>
      <c r="E483" s="207">
        <v>1.5E7</v>
      </c>
      <c r="F483" s="221">
        <f t="shared" si="11"/>
        <v>183358670</v>
      </c>
      <c r="H483" s="226"/>
      <c r="I483" s="3"/>
      <c r="J483" s="227"/>
      <c r="K483" s="227"/>
      <c r="L483" s="227"/>
    </row>
    <row r="484" ht="16.5" customHeight="1">
      <c r="A484" s="259">
        <v>46225.0</v>
      </c>
      <c r="B484" s="260" t="s">
        <v>654</v>
      </c>
      <c r="C484" s="261" t="s">
        <v>27</v>
      </c>
      <c r="D484" s="221"/>
      <c r="E484" s="207">
        <v>6000000.0</v>
      </c>
      <c r="F484" s="221">
        <f t="shared" si="11"/>
        <v>177358670</v>
      </c>
      <c r="H484" s="226"/>
      <c r="I484" s="3"/>
      <c r="J484" s="227"/>
      <c r="K484" s="227"/>
      <c r="L484" s="227"/>
    </row>
    <row r="485" ht="16.5" customHeight="1">
      <c r="A485" s="259">
        <v>46227.0</v>
      </c>
      <c r="B485" s="260" t="s">
        <v>687</v>
      </c>
      <c r="C485" s="261" t="s">
        <v>27</v>
      </c>
      <c r="D485" s="221"/>
      <c r="E485" s="207">
        <v>4.7E7</v>
      </c>
      <c r="F485" s="221">
        <f t="shared" si="11"/>
        <v>130358670</v>
      </c>
      <c r="H485" s="226"/>
      <c r="I485" s="3"/>
      <c r="J485" s="227"/>
      <c r="K485" s="227"/>
      <c r="L485" s="227"/>
    </row>
    <row r="486" ht="16.5" customHeight="1">
      <c r="A486" s="259">
        <v>46230.0</v>
      </c>
      <c r="B486" s="260" t="s">
        <v>688</v>
      </c>
      <c r="C486" s="261" t="s">
        <v>27</v>
      </c>
      <c r="D486" s="221"/>
      <c r="E486" s="207">
        <v>1.0377795E7</v>
      </c>
      <c r="F486" s="221">
        <f t="shared" si="11"/>
        <v>119980875</v>
      </c>
      <c r="H486" s="226"/>
      <c r="I486" s="3"/>
      <c r="J486" s="227"/>
      <c r="K486" s="227"/>
      <c r="L486" s="227"/>
    </row>
    <row r="487" ht="16.5" customHeight="1">
      <c r="A487" s="259">
        <v>46230.0</v>
      </c>
      <c r="B487" s="260" t="s">
        <v>689</v>
      </c>
      <c r="C487" s="261" t="s">
        <v>27</v>
      </c>
      <c r="D487" s="221"/>
      <c r="E487" s="207">
        <v>1.8E8</v>
      </c>
      <c r="F487" s="221">
        <f t="shared" si="11"/>
        <v>-60019125</v>
      </c>
      <c r="H487" s="226"/>
      <c r="I487" s="3"/>
      <c r="J487" s="227"/>
      <c r="K487" s="227"/>
      <c r="L487" s="227"/>
    </row>
    <row r="488" ht="16.5" customHeight="1">
      <c r="A488" s="259">
        <v>46231.0</v>
      </c>
      <c r="B488" s="260" t="s">
        <v>690</v>
      </c>
      <c r="C488" s="261" t="s">
        <v>27</v>
      </c>
      <c r="D488" s="221"/>
      <c r="E488" s="207">
        <v>1.705E7</v>
      </c>
      <c r="F488" s="221">
        <f t="shared" si="11"/>
        <v>-77069125</v>
      </c>
      <c r="H488" s="226"/>
      <c r="I488" s="3"/>
      <c r="J488" s="227"/>
      <c r="K488" s="227"/>
      <c r="L488" s="227"/>
    </row>
    <row r="489" ht="16.5" customHeight="1">
      <c r="A489" s="259">
        <v>46232.0</v>
      </c>
      <c r="B489" s="260" t="s">
        <v>691</v>
      </c>
      <c r="C489" s="261" t="s">
        <v>27</v>
      </c>
      <c r="D489" s="221"/>
      <c r="E489" s="207">
        <v>2.6659E7</v>
      </c>
      <c r="F489" s="221">
        <f t="shared" si="11"/>
        <v>-103728125</v>
      </c>
      <c r="H489" s="226"/>
      <c r="I489" s="3"/>
      <c r="J489" s="227"/>
      <c r="K489" s="227"/>
      <c r="L489" s="227"/>
    </row>
    <row r="490" ht="16.5" customHeight="1">
      <c r="A490" s="259">
        <v>46237.0</v>
      </c>
      <c r="B490" s="260" t="s">
        <v>692</v>
      </c>
      <c r="C490" s="261" t="s">
        <v>27</v>
      </c>
      <c r="D490" s="221"/>
      <c r="E490" s="207">
        <v>1.769E7</v>
      </c>
      <c r="F490" s="221">
        <f t="shared" si="11"/>
        <v>-121418125</v>
      </c>
      <c r="H490" s="226"/>
      <c r="I490" s="3"/>
      <c r="J490" s="227"/>
      <c r="K490" s="227"/>
      <c r="L490" s="227"/>
    </row>
    <row r="491" ht="16.5" customHeight="1">
      <c r="A491" s="259">
        <v>46238.0</v>
      </c>
      <c r="B491" s="260" t="s">
        <v>693</v>
      </c>
      <c r="C491" s="261" t="s">
        <v>27</v>
      </c>
      <c r="D491" s="221"/>
      <c r="E491" s="207">
        <v>1.0E7</v>
      </c>
      <c r="F491" s="221">
        <f t="shared" si="11"/>
        <v>-131418125</v>
      </c>
      <c r="H491" s="226"/>
      <c r="I491" s="3"/>
      <c r="J491" s="227"/>
      <c r="K491" s="227"/>
      <c r="L491" s="227"/>
    </row>
    <row r="492" ht="16.5" customHeight="1">
      <c r="A492" s="259">
        <v>46239.0</v>
      </c>
      <c r="B492" s="260" t="s">
        <v>694</v>
      </c>
      <c r="C492" s="261" t="s">
        <v>27</v>
      </c>
      <c r="D492" s="221"/>
      <c r="E492" s="207">
        <v>2.835E8</v>
      </c>
      <c r="F492" s="221">
        <f t="shared" si="11"/>
        <v>-414918125</v>
      </c>
      <c r="H492" s="226"/>
      <c r="I492" s="3"/>
      <c r="J492" s="227"/>
      <c r="K492" s="227"/>
      <c r="L492" s="227"/>
    </row>
    <row r="493" ht="16.5" customHeight="1">
      <c r="A493" s="259">
        <v>46240.0</v>
      </c>
      <c r="B493" s="260" t="s">
        <v>695</v>
      </c>
      <c r="C493" s="261" t="s">
        <v>27</v>
      </c>
      <c r="D493" s="221"/>
      <c r="E493" s="207">
        <v>2500000.0</v>
      </c>
      <c r="F493" s="221">
        <f t="shared" si="11"/>
        <v>-417418125</v>
      </c>
      <c r="H493" s="226"/>
      <c r="I493" s="3"/>
      <c r="J493" s="227"/>
      <c r="K493" s="227"/>
      <c r="L493" s="227"/>
    </row>
    <row r="494" ht="16.5" customHeight="1">
      <c r="A494" s="259">
        <v>46242.0</v>
      </c>
      <c r="B494" s="260" t="s">
        <v>696</v>
      </c>
      <c r="C494" s="261" t="s">
        <v>27</v>
      </c>
      <c r="D494" s="221"/>
      <c r="E494" s="207">
        <v>1.0E8</v>
      </c>
      <c r="F494" s="221">
        <f t="shared" si="11"/>
        <v>-517418125</v>
      </c>
      <c r="H494" s="226"/>
      <c r="I494" s="3"/>
      <c r="J494" s="227"/>
      <c r="K494" s="227"/>
      <c r="L494" s="227"/>
    </row>
    <row r="495" ht="16.5" customHeight="1">
      <c r="A495" s="223"/>
      <c r="B495" s="224"/>
      <c r="C495" s="225"/>
      <c r="D495" s="221"/>
      <c r="E495" s="84"/>
      <c r="F495" s="221">
        <f t="shared" si="11"/>
        <v>-517418125</v>
      </c>
      <c r="H495" s="226"/>
      <c r="I495" s="3"/>
      <c r="J495" s="227"/>
      <c r="K495" s="227"/>
      <c r="L495" s="227"/>
    </row>
    <row r="496" ht="16.5" customHeight="1">
      <c r="A496" s="223"/>
      <c r="B496" s="224"/>
      <c r="C496" s="225"/>
      <c r="D496" s="221"/>
      <c r="E496" s="84"/>
      <c r="F496" s="221">
        <f t="shared" si="11"/>
        <v>-517418125</v>
      </c>
      <c r="H496" s="226"/>
      <c r="I496" s="3"/>
      <c r="J496" s="227"/>
      <c r="K496" s="227"/>
      <c r="L496" s="227"/>
    </row>
    <row r="497" ht="16.5" customHeight="1">
      <c r="A497" s="223"/>
      <c r="B497" s="224"/>
      <c r="C497" s="225"/>
      <c r="D497" s="221"/>
      <c r="E497" s="84"/>
      <c r="F497" s="221">
        <f t="shared" si="11"/>
        <v>-517418125</v>
      </c>
      <c r="H497" s="226"/>
      <c r="I497" s="3"/>
      <c r="J497" s="227"/>
      <c r="K497" s="227"/>
      <c r="L497" s="227"/>
    </row>
    <row r="498" ht="16.5" customHeight="1">
      <c r="A498" s="223"/>
      <c r="B498" s="224"/>
      <c r="C498" s="225"/>
      <c r="D498" s="221"/>
      <c r="E498" s="84"/>
      <c r="F498" s="221">
        <f t="shared" si="11"/>
        <v>-517418125</v>
      </c>
      <c r="H498" s="226"/>
      <c r="I498" s="3"/>
      <c r="J498" s="227"/>
      <c r="K498" s="227"/>
      <c r="L498" s="227"/>
    </row>
    <row r="499" ht="16.5" customHeight="1">
      <c r="A499" s="223"/>
      <c r="B499" s="224"/>
      <c r="C499" s="225"/>
      <c r="D499" s="221"/>
      <c r="E499" s="84"/>
      <c r="F499" s="221">
        <f t="shared" si="11"/>
        <v>-517418125</v>
      </c>
      <c r="H499" s="226"/>
      <c r="I499" s="3"/>
      <c r="J499" s="227"/>
      <c r="K499" s="227"/>
      <c r="L499" s="227"/>
    </row>
    <row r="500" ht="16.5" customHeight="1">
      <c r="A500" s="223"/>
      <c r="B500" s="224"/>
      <c r="C500" s="225"/>
      <c r="D500" s="221"/>
      <c r="E500" s="84"/>
      <c r="F500" s="221">
        <f t="shared" si="11"/>
        <v>-517418125</v>
      </c>
      <c r="H500" s="226"/>
      <c r="I500" s="3"/>
      <c r="J500" s="227"/>
      <c r="K500" s="227"/>
      <c r="L500" s="227"/>
    </row>
    <row r="501" ht="16.5" customHeight="1">
      <c r="A501" s="223"/>
      <c r="B501" s="224"/>
      <c r="C501" s="225"/>
      <c r="D501" s="221"/>
      <c r="E501" s="84"/>
      <c r="F501" s="221">
        <f t="shared" si="11"/>
        <v>-517418125</v>
      </c>
      <c r="H501" s="226"/>
      <c r="I501" s="3"/>
      <c r="J501" s="227"/>
      <c r="K501" s="227"/>
      <c r="L501" s="227"/>
    </row>
    <row r="502" ht="16.5" customHeight="1">
      <c r="A502" s="223"/>
      <c r="B502" s="224"/>
      <c r="C502" s="225"/>
      <c r="D502" s="221"/>
      <c r="E502" s="84"/>
      <c r="F502" s="221">
        <f t="shared" si="11"/>
        <v>-517418125</v>
      </c>
      <c r="H502" s="226"/>
      <c r="I502" s="3"/>
      <c r="J502" s="227"/>
      <c r="K502" s="227"/>
      <c r="L502" s="227"/>
    </row>
    <row r="503" ht="16.5" customHeight="1">
      <c r="A503" s="223"/>
      <c r="B503" s="224"/>
      <c r="C503" s="225"/>
      <c r="D503" s="221"/>
      <c r="E503" s="84"/>
      <c r="F503" s="221">
        <f t="shared" si="11"/>
        <v>-517418125</v>
      </c>
      <c r="I503" s="3"/>
      <c r="J503" s="7"/>
      <c r="K503" s="7"/>
      <c r="L503" s="7"/>
    </row>
    <row r="504" ht="16.5" customHeight="1">
      <c r="A504" s="277"/>
      <c r="B504" s="278"/>
      <c r="C504" s="279"/>
      <c r="D504" s="280">
        <f t="shared" ref="D504:E504" si="12">SUM(D4:D502)</f>
        <v>16476072000</v>
      </c>
      <c r="E504" s="281">
        <f t="shared" si="12"/>
        <v>16993490125</v>
      </c>
      <c r="F504" s="280">
        <f>D504-E504</f>
        <v>-517418125</v>
      </c>
      <c r="H504" s="278"/>
      <c r="I504" s="279"/>
      <c r="J504" s="281"/>
      <c r="K504" s="281"/>
      <c r="L504" s="282"/>
    </row>
    <row r="505" ht="16.5" customHeight="1">
      <c r="A505" s="1"/>
      <c r="C505" s="3"/>
      <c r="D505" s="7"/>
      <c r="E505" s="7"/>
      <c r="F505" s="7"/>
    </row>
    <row r="506" ht="16.5" customHeight="1">
      <c r="A506" s="1"/>
      <c r="C506" s="3"/>
      <c r="D506" s="7"/>
      <c r="E506" s="7"/>
      <c r="F506" s="7"/>
      <c r="G506" s="7"/>
    </row>
    <row r="507" ht="16.5" customHeight="1">
      <c r="A507" s="1"/>
      <c r="C507" s="283" t="s">
        <v>697</v>
      </c>
      <c r="D507" s="284"/>
      <c r="E507" s="7"/>
      <c r="F507" s="7"/>
    </row>
    <row r="508" ht="16.5" customHeight="1">
      <c r="A508" s="1"/>
      <c r="C508" s="55" t="s">
        <v>27</v>
      </c>
      <c r="D508" s="285">
        <f>sumif(C4:E503,C5,E4:E503)</f>
        <v>15032316536</v>
      </c>
      <c r="F508" s="286"/>
      <c r="G508" s="287"/>
    </row>
    <row r="509" ht="16.5" customHeight="1">
      <c r="A509" s="1"/>
      <c r="B509" s="214"/>
      <c r="C509" s="55" t="s">
        <v>471</v>
      </c>
      <c r="D509" s="57">
        <f>sumif(C4:E503,C228,E4:E503)</f>
        <v>939418716</v>
      </c>
      <c r="F509" s="286"/>
    </row>
    <row r="510" ht="16.5" customHeight="1">
      <c r="A510" s="1"/>
      <c r="C510" s="55" t="s">
        <v>58</v>
      </c>
      <c r="D510" s="57">
        <f>sumif(C4:E503,C7,E4:E503)</f>
        <v>803061305</v>
      </c>
      <c r="F510" s="286"/>
    </row>
    <row r="511" ht="16.5" customHeight="1">
      <c r="A511" s="1"/>
      <c r="C511" s="55" t="s">
        <v>177</v>
      </c>
      <c r="D511" s="57">
        <f>sumif(C4:E503,C280,E4:E503)</f>
        <v>218693568</v>
      </c>
      <c r="F511" s="286"/>
      <c r="G511" s="214"/>
    </row>
    <row r="512" ht="16.5" customHeight="1">
      <c r="A512" s="1"/>
      <c r="C512" s="3"/>
      <c r="D512" s="288">
        <f>sum(D508:D511)</f>
        <v>16993490125</v>
      </c>
      <c r="E512" s="7"/>
      <c r="F512" s="7"/>
    </row>
    <row r="513" ht="16.5" customHeight="1">
      <c r="A513" s="1"/>
      <c r="C513" s="3"/>
      <c r="E513" s="7"/>
      <c r="F513" s="7"/>
    </row>
    <row r="514" ht="16.5" customHeight="1">
      <c r="A514" s="1"/>
      <c r="C514" s="3"/>
      <c r="D514" s="7"/>
      <c r="E514" s="7"/>
      <c r="F514" s="7"/>
    </row>
    <row r="515" ht="16.5" customHeight="1">
      <c r="A515" s="1"/>
      <c r="C515" s="3"/>
      <c r="D515" s="7"/>
      <c r="E515" s="7"/>
      <c r="F515" s="7"/>
    </row>
    <row r="516" ht="16.5" customHeight="1">
      <c r="A516" s="1"/>
      <c r="C516" s="3"/>
      <c r="D516" s="286"/>
      <c r="E516" s="286" t="s">
        <v>698</v>
      </c>
      <c r="F516" s="286"/>
    </row>
    <row r="517" ht="16.5" customHeight="1">
      <c r="A517" s="1"/>
      <c r="C517" s="3"/>
      <c r="D517" s="7"/>
      <c r="E517" s="286" t="s">
        <v>699</v>
      </c>
      <c r="F517" s="286">
        <v>1.95E8</v>
      </c>
    </row>
    <row r="518" ht="16.5" customHeight="1">
      <c r="A518" s="1"/>
      <c r="C518" s="3"/>
      <c r="D518" s="289"/>
      <c r="E518" s="7"/>
      <c r="F518" s="286">
        <v>4.0E8</v>
      </c>
    </row>
    <row r="519" ht="16.5" customHeight="1">
      <c r="A519" s="1"/>
      <c r="C519" s="3"/>
      <c r="D519" s="289"/>
      <c r="E519" s="7"/>
      <c r="F519" s="286">
        <v>1.0E8</v>
      </c>
    </row>
    <row r="520" ht="16.5" customHeight="1">
      <c r="A520" s="1"/>
      <c r="C520" s="3"/>
      <c r="D520" s="289"/>
      <c r="E520" s="286"/>
      <c r="F520" s="286"/>
    </row>
    <row r="521" ht="16.5" customHeight="1">
      <c r="A521" s="1"/>
      <c r="C521" s="3"/>
      <c r="D521" s="289"/>
      <c r="E521" s="286"/>
      <c r="F521" s="286">
        <f>SUM(F517:F519)</f>
        <v>695000000</v>
      </c>
    </row>
    <row r="522" ht="16.5" customHeight="1">
      <c r="A522" s="1"/>
      <c r="C522" s="3"/>
      <c r="D522" s="289"/>
      <c r="E522" s="286"/>
      <c r="F522" s="286"/>
    </row>
    <row r="523" ht="16.5" customHeight="1">
      <c r="A523" s="1"/>
      <c r="C523" s="3"/>
      <c r="D523" s="289"/>
      <c r="E523" s="7"/>
      <c r="F523" s="7"/>
    </row>
    <row r="524" ht="16.5" customHeight="1">
      <c r="A524" s="1"/>
      <c r="C524" s="3"/>
      <c r="D524" s="289"/>
      <c r="E524" s="7"/>
      <c r="F524" s="7">
        <f>F504-F521</f>
        <v>-1212418125</v>
      </c>
    </row>
    <row r="525" ht="16.5" customHeight="1">
      <c r="A525" s="1"/>
      <c r="C525" s="3"/>
      <c r="D525" s="289"/>
      <c r="E525" s="286"/>
      <c r="F525" s="286">
        <v>1.0E8</v>
      </c>
      <c r="G525" s="214" t="s">
        <v>700</v>
      </c>
    </row>
    <row r="526" ht="16.5" customHeight="1">
      <c r="A526" s="1"/>
      <c r="C526" s="3"/>
      <c r="D526" s="7"/>
      <c r="E526" s="7"/>
      <c r="F526" s="7"/>
    </row>
    <row r="527" ht="16.5" customHeight="1">
      <c r="A527" s="1"/>
      <c r="C527" s="3"/>
      <c r="D527" s="7"/>
      <c r="E527" s="289"/>
      <c r="F527" s="7">
        <f>F524-F525</f>
        <v>-1312418125</v>
      </c>
      <c r="G527" s="214" t="s">
        <v>701</v>
      </c>
    </row>
    <row r="528" ht="16.5" customHeight="1">
      <c r="A528" s="1"/>
      <c r="C528" s="3"/>
      <c r="D528" s="289"/>
      <c r="E528" s="7"/>
      <c r="F528" s="7"/>
    </row>
    <row r="529" ht="16.5" customHeight="1">
      <c r="A529" s="1"/>
      <c r="C529" s="3"/>
      <c r="D529" s="7"/>
      <c r="E529" s="7"/>
      <c r="F529" s="7"/>
    </row>
    <row r="530" ht="16.5" customHeight="1">
      <c r="A530" s="1"/>
      <c r="C530" s="3"/>
      <c r="D530" s="7"/>
      <c r="E530" s="7"/>
      <c r="F530" s="7"/>
    </row>
    <row r="531" ht="16.5" customHeight="1">
      <c r="A531" s="1"/>
      <c r="C531" s="3"/>
      <c r="D531" s="7"/>
      <c r="E531" s="7"/>
      <c r="F531" s="7"/>
    </row>
    <row r="532" ht="16.5" customHeight="1">
      <c r="A532" s="1"/>
      <c r="C532" s="3"/>
      <c r="D532" s="7"/>
      <c r="E532" s="7"/>
      <c r="F532" s="7"/>
    </row>
    <row r="533" ht="16.5" customHeight="1">
      <c r="A533" s="1"/>
      <c r="C533" s="3"/>
      <c r="D533" s="7"/>
      <c r="E533" s="7"/>
      <c r="F533" s="7"/>
    </row>
    <row r="534" ht="16.5" customHeight="1">
      <c r="A534" s="1"/>
      <c r="C534" s="3"/>
      <c r="D534" s="7"/>
      <c r="E534" s="7"/>
      <c r="F534" s="7"/>
    </row>
    <row r="535" ht="16.5" customHeight="1">
      <c r="A535" s="1"/>
      <c r="C535" s="3"/>
      <c r="D535" s="7"/>
      <c r="E535" s="7"/>
      <c r="F535" s="7"/>
    </row>
    <row r="536" ht="16.5" customHeight="1">
      <c r="A536" s="1"/>
      <c r="C536" s="3"/>
      <c r="D536" s="7"/>
      <c r="E536" s="7"/>
      <c r="F536" s="7"/>
    </row>
    <row r="537" ht="16.5" customHeight="1">
      <c r="A537" s="1"/>
      <c r="C537" s="3"/>
      <c r="D537" s="7"/>
      <c r="E537" s="7"/>
      <c r="F537" s="7"/>
    </row>
    <row r="538" ht="16.5" customHeight="1">
      <c r="A538" s="1"/>
      <c r="C538" s="3"/>
      <c r="D538" s="7"/>
      <c r="E538" s="7"/>
      <c r="F538" s="7"/>
    </row>
    <row r="539" ht="16.5" customHeight="1">
      <c r="A539" s="1"/>
      <c r="C539" s="3"/>
      <c r="D539" s="7"/>
      <c r="E539" s="7"/>
      <c r="F539" s="7"/>
    </row>
    <row r="540" ht="16.5" customHeight="1">
      <c r="A540" s="1"/>
      <c r="C540" s="3"/>
      <c r="D540" s="7"/>
      <c r="E540" s="7"/>
      <c r="F540" s="7"/>
    </row>
    <row r="541" ht="16.5" customHeight="1">
      <c r="A541" s="1"/>
      <c r="C541" s="3"/>
      <c r="D541" s="7"/>
      <c r="E541" s="7"/>
      <c r="F541" s="7"/>
    </row>
    <row r="542" ht="16.5" customHeight="1">
      <c r="A542" s="1"/>
      <c r="C542" s="3"/>
      <c r="D542" s="7"/>
      <c r="E542" s="7"/>
      <c r="F542" s="7"/>
    </row>
    <row r="543" ht="16.5" customHeight="1">
      <c r="A543" s="1"/>
      <c r="C543" s="3"/>
      <c r="D543" s="7"/>
      <c r="E543" s="7"/>
      <c r="F543" s="7"/>
    </row>
    <row r="544" ht="16.5" customHeight="1">
      <c r="A544" s="1"/>
      <c r="C544" s="3"/>
      <c r="D544" s="7"/>
      <c r="E544" s="7"/>
      <c r="F544" s="7"/>
    </row>
    <row r="545" ht="16.5" customHeight="1">
      <c r="A545" s="1"/>
      <c r="C545" s="3"/>
      <c r="D545" s="7"/>
      <c r="E545" s="7"/>
      <c r="F545" s="7"/>
    </row>
    <row r="546" ht="16.5" customHeight="1">
      <c r="A546" s="1"/>
      <c r="C546" s="3"/>
      <c r="D546" s="7"/>
      <c r="E546" s="7"/>
      <c r="F546" s="7"/>
    </row>
    <row r="547" ht="16.5" customHeight="1">
      <c r="A547" s="1"/>
      <c r="C547" s="3"/>
      <c r="D547" s="7"/>
      <c r="E547" s="7"/>
      <c r="F547" s="7"/>
    </row>
    <row r="548" ht="16.5" customHeight="1">
      <c r="A548" s="1"/>
      <c r="C548" s="3"/>
      <c r="D548" s="7"/>
      <c r="E548" s="7"/>
      <c r="F548" s="7"/>
    </row>
    <row r="549" ht="16.5" customHeight="1">
      <c r="A549" s="1"/>
      <c r="C549" s="3"/>
      <c r="D549" s="7"/>
      <c r="E549" s="7"/>
      <c r="F549" s="7"/>
    </row>
    <row r="550" ht="16.5" customHeight="1">
      <c r="A550" s="1"/>
      <c r="C550" s="3"/>
      <c r="D550" s="7"/>
      <c r="E550" s="7"/>
      <c r="F550" s="7"/>
    </row>
    <row r="551" ht="16.5" customHeight="1">
      <c r="A551" s="1"/>
      <c r="C551" s="3"/>
      <c r="D551" s="7"/>
      <c r="E551" s="7"/>
      <c r="F551" s="7"/>
    </row>
    <row r="552" ht="16.5" customHeight="1">
      <c r="A552" s="1"/>
      <c r="C552" s="3"/>
      <c r="D552" s="7"/>
      <c r="E552" s="7"/>
      <c r="F552" s="7"/>
    </row>
    <row r="553" ht="16.5" customHeight="1">
      <c r="A553" s="1"/>
      <c r="C553" s="3"/>
      <c r="D553" s="7"/>
      <c r="E553" s="7"/>
      <c r="F553" s="7"/>
    </row>
    <row r="554" ht="16.5" customHeight="1">
      <c r="A554" s="1"/>
      <c r="C554" s="3"/>
      <c r="D554" s="7"/>
      <c r="E554" s="7"/>
      <c r="F554" s="7"/>
    </row>
    <row r="555" ht="16.5" customHeight="1">
      <c r="A555" s="1"/>
      <c r="C555" s="3"/>
      <c r="D555" s="7"/>
      <c r="E555" s="7"/>
      <c r="F555" s="7"/>
    </row>
    <row r="556" ht="16.5" customHeight="1">
      <c r="A556" s="1"/>
      <c r="C556" s="3"/>
      <c r="D556" s="7"/>
      <c r="E556" s="7"/>
      <c r="F556" s="7"/>
    </row>
    <row r="557" ht="16.5" customHeight="1">
      <c r="A557" s="1"/>
      <c r="C557" s="3"/>
      <c r="D557" s="7"/>
      <c r="E557" s="7"/>
      <c r="F557" s="7"/>
    </row>
    <row r="558" ht="16.5" customHeight="1">
      <c r="A558" s="1"/>
      <c r="C558" s="3"/>
      <c r="D558" s="7"/>
      <c r="E558" s="7"/>
      <c r="F558" s="7"/>
    </row>
    <row r="559" ht="16.5" customHeight="1">
      <c r="A559" s="1"/>
      <c r="C559" s="3"/>
      <c r="D559" s="7"/>
      <c r="E559" s="7"/>
      <c r="F559" s="7"/>
    </row>
    <row r="560" ht="16.5" customHeight="1">
      <c r="A560" s="1"/>
      <c r="C560" s="3"/>
      <c r="D560" s="7"/>
      <c r="E560" s="7"/>
      <c r="F560" s="7"/>
    </row>
    <row r="561" ht="16.5" customHeight="1">
      <c r="A561" s="1"/>
      <c r="C561" s="3"/>
      <c r="D561" s="7"/>
      <c r="E561" s="7"/>
      <c r="F561" s="7"/>
    </row>
    <row r="562" ht="16.5" customHeight="1">
      <c r="A562" s="1"/>
      <c r="C562" s="3"/>
      <c r="D562" s="7"/>
      <c r="E562" s="7"/>
      <c r="F562" s="7"/>
    </row>
    <row r="563" ht="16.5" customHeight="1">
      <c r="A563" s="1"/>
      <c r="C563" s="3"/>
      <c r="D563" s="7"/>
      <c r="E563" s="7"/>
      <c r="F563" s="7"/>
    </row>
    <row r="564" ht="16.5" customHeight="1">
      <c r="A564" s="1"/>
      <c r="C564" s="3"/>
      <c r="D564" s="7"/>
      <c r="E564" s="7"/>
      <c r="F564" s="7"/>
    </row>
    <row r="565" ht="16.5" customHeight="1">
      <c r="A565" s="1"/>
      <c r="C565" s="3"/>
      <c r="D565" s="7"/>
      <c r="E565" s="7"/>
      <c r="F565" s="7"/>
    </row>
    <row r="566" ht="16.5" customHeight="1">
      <c r="A566" s="1"/>
      <c r="C566" s="3"/>
      <c r="D566" s="7"/>
      <c r="E566" s="7"/>
      <c r="F566" s="7"/>
    </row>
    <row r="567" ht="16.5" customHeight="1">
      <c r="A567" s="1"/>
      <c r="C567" s="3"/>
      <c r="D567" s="7"/>
      <c r="E567" s="7"/>
      <c r="F567" s="7"/>
    </row>
    <row r="568" ht="16.5" customHeight="1">
      <c r="A568" s="1"/>
      <c r="C568" s="3"/>
      <c r="D568" s="7"/>
      <c r="E568" s="7"/>
      <c r="F568" s="7"/>
    </row>
    <row r="569" ht="16.5" customHeight="1">
      <c r="A569" s="1"/>
      <c r="C569" s="3"/>
      <c r="D569" s="7"/>
      <c r="E569" s="7"/>
      <c r="F569" s="7"/>
    </row>
    <row r="570" ht="16.5" customHeight="1">
      <c r="A570" s="1"/>
      <c r="C570" s="3"/>
      <c r="D570" s="7"/>
      <c r="E570" s="7"/>
      <c r="F570" s="7"/>
    </row>
    <row r="571" ht="16.5" customHeight="1">
      <c r="A571" s="1"/>
      <c r="C571" s="3"/>
      <c r="D571" s="7"/>
      <c r="E571" s="7"/>
      <c r="F571" s="7"/>
    </row>
    <row r="572" ht="16.5" customHeight="1">
      <c r="A572" s="1"/>
      <c r="C572" s="3"/>
      <c r="D572" s="7"/>
      <c r="E572" s="7"/>
      <c r="F572" s="7"/>
    </row>
    <row r="573" ht="16.5" customHeight="1">
      <c r="A573" s="1"/>
      <c r="C573" s="3"/>
      <c r="D573" s="7"/>
      <c r="E573" s="7"/>
      <c r="F573" s="7"/>
    </row>
    <row r="574" ht="16.5" customHeight="1">
      <c r="A574" s="1"/>
      <c r="C574" s="3"/>
      <c r="D574" s="7"/>
      <c r="E574" s="7"/>
      <c r="F574" s="7"/>
    </row>
    <row r="575" ht="16.5" customHeight="1">
      <c r="A575" s="1"/>
      <c r="C575" s="3"/>
      <c r="D575" s="7"/>
      <c r="E575" s="7"/>
      <c r="F575" s="7"/>
    </row>
    <row r="576" ht="16.5" customHeight="1">
      <c r="A576" s="1"/>
      <c r="C576" s="3"/>
      <c r="D576" s="7"/>
      <c r="E576" s="7"/>
      <c r="F576" s="7"/>
    </row>
    <row r="577" ht="16.5" customHeight="1">
      <c r="A577" s="1"/>
      <c r="C577" s="3"/>
      <c r="D577" s="7"/>
      <c r="E577" s="7"/>
      <c r="F577" s="7"/>
    </row>
    <row r="578" ht="16.5" customHeight="1">
      <c r="A578" s="1"/>
      <c r="C578" s="3"/>
      <c r="D578" s="7"/>
      <c r="E578" s="7"/>
      <c r="F578" s="7"/>
    </row>
    <row r="579" ht="16.5" customHeight="1">
      <c r="A579" s="1"/>
      <c r="C579" s="3"/>
      <c r="D579" s="7"/>
      <c r="E579" s="7"/>
      <c r="F579" s="7"/>
    </row>
    <row r="580" ht="16.5" customHeight="1">
      <c r="A580" s="1"/>
      <c r="C580" s="3"/>
      <c r="D580" s="7"/>
      <c r="E580" s="7"/>
      <c r="F580" s="7"/>
    </row>
    <row r="581" ht="16.5" customHeight="1">
      <c r="A581" s="1"/>
      <c r="C581" s="3"/>
      <c r="D581" s="7"/>
      <c r="E581" s="7"/>
      <c r="F581" s="7"/>
    </row>
    <row r="582" ht="16.5" customHeight="1">
      <c r="A582" s="1"/>
      <c r="C582" s="3"/>
      <c r="D582" s="7"/>
      <c r="E582" s="7"/>
      <c r="F582" s="7"/>
    </row>
    <row r="583" ht="16.5" customHeight="1">
      <c r="A583" s="1"/>
      <c r="C583" s="3"/>
      <c r="D583" s="7"/>
      <c r="E583" s="7"/>
      <c r="F583" s="7"/>
    </row>
    <row r="584" ht="16.5" customHeight="1">
      <c r="A584" s="1"/>
      <c r="C584" s="3"/>
      <c r="D584" s="7"/>
      <c r="E584" s="7"/>
      <c r="F584" s="7"/>
    </row>
    <row r="585" ht="16.5" customHeight="1">
      <c r="A585" s="1"/>
      <c r="C585" s="3"/>
      <c r="D585" s="7"/>
      <c r="E585" s="7"/>
      <c r="F585" s="7"/>
    </row>
    <row r="586" ht="16.5" customHeight="1">
      <c r="A586" s="1"/>
      <c r="C586" s="3"/>
      <c r="D586" s="7"/>
      <c r="E586" s="7"/>
      <c r="F586" s="7"/>
    </row>
    <row r="587" ht="16.5" customHeight="1">
      <c r="A587" s="1"/>
      <c r="C587" s="3"/>
      <c r="D587" s="7"/>
      <c r="E587" s="7"/>
      <c r="F587" s="7"/>
    </row>
    <row r="588" ht="16.5" customHeight="1">
      <c r="A588" s="1"/>
      <c r="C588" s="3"/>
      <c r="D588" s="7"/>
      <c r="E588" s="7"/>
      <c r="F588" s="7"/>
    </row>
    <row r="589" ht="16.5" customHeight="1">
      <c r="A589" s="1"/>
      <c r="C589" s="3"/>
      <c r="D589" s="7"/>
      <c r="E589" s="7"/>
      <c r="F589" s="7"/>
    </row>
    <row r="590" ht="16.5" customHeight="1">
      <c r="A590" s="1"/>
      <c r="C590" s="3"/>
      <c r="D590" s="7"/>
      <c r="E590" s="7"/>
      <c r="F590" s="7"/>
    </row>
    <row r="591" ht="16.5" customHeight="1">
      <c r="A591" s="1"/>
      <c r="C591" s="3"/>
      <c r="D591" s="7"/>
      <c r="E591" s="7"/>
      <c r="F591" s="7"/>
    </row>
    <row r="592" ht="16.5" customHeight="1">
      <c r="A592" s="1"/>
      <c r="C592" s="3"/>
      <c r="D592" s="7"/>
      <c r="E592" s="7"/>
      <c r="F592" s="7"/>
    </row>
    <row r="593" ht="16.5" customHeight="1">
      <c r="A593" s="1"/>
      <c r="C593" s="3"/>
      <c r="D593" s="7"/>
      <c r="E593" s="7"/>
      <c r="F593" s="7"/>
    </row>
    <row r="594" ht="16.5" customHeight="1">
      <c r="A594" s="1"/>
      <c r="C594" s="3"/>
      <c r="D594" s="7"/>
      <c r="E594" s="7"/>
      <c r="F594" s="7"/>
    </row>
    <row r="595" ht="16.5" customHeight="1">
      <c r="A595" s="1"/>
      <c r="C595" s="3"/>
      <c r="D595" s="7"/>
      <c r="E595" s="7"/>
      <c r="F595" s="7"/>
    </row>
    <row r="596" ht="16.5" customHeight="1">
      <c r="A596" s="1"/>
      <c r="C596" s="3"/>
      <c r="D596" s="7"/>
      <c r="E596" s="7"/>
      <c r="F596" s="7"/>
    </row>
    <row r="597" ht="16.5" customHeight="1">
      <c r="A597" s="1"/>
      <c r="C597" s="3"/>
      <c r="D597" s="7"/>
      <c r="E597" s="7"/>
      <c r="F597" s="7"/>
    </row>
    <row r="598" ht="16.5" customHeight="1">
      <c r="A598" s="1"/>
      <c r="C598" s="3"/>
      <c r="D598" s="7"/>
      <c r="E598" s="7"/>
      <c r="F598" s="7"/>
    </row>
    <row r="599" ht="16.5" customHeight="1">
      <c r="A599" s="1"/>
      <c r="C599" s="3"/>
      <c r="D599" s="7"/>
      <c r="E599" s="7"/>
      <c r="F599" s="7"/>
    </row>
    <row r="600" ht="16.5" customHeight="1">
      <c r="A600" s="1"/>
      <c r="C600" s="3"/>
      <c r="D600" s="7"/>
      <c r="E600" s="7"/>
      <c r="F600" s="7"/>
    </row>
    <row r="601" ht="16.5" customHeight="1">
      <c r="A601" s="1"/>
      <c r="C601" s="3"/>
      <c r="D601" s="7"/>
      <c r="E601" s="7"/>
      <c r="F601" s="7"/>
    </row>
    <row r="602" ht="16.5" customHeight="1">
      <c r="A602" s="1"/>
      <c r="C602" s="3"/>
      <c r="D602" s="7"/>
      <c r="E602" s="7"/>
      <c r="F602" s="7"/>
    </row>
    <row r="603" ht="16.5" customHeight="1">
      <c r="A603" s="1"/>
      <c r="C603" s="3"/>
      <c r="D603" s="7"/>
      <c r="E603" s="7"/>
      <c r="F603" s="7"/>
    </row>
    <row r="604" ht="16.5" customHeight="1">
      <c r="A604" s="1"/>
      <c r="C604" s="3"/>
      <c r="D604" s="7"/>
      <c r="E604" s="7"/>
      <c r="F604" s="7"/>
    </row>
    <row r="605" ht="16.5" customHeight="1">
      <c r="A605" s="1"/>
      <c r="C605" s="3"/>
      <c r="D605" s="7"/>
      <c r="E605" s="7"/>
      <c r="F605" s="7"/>
    </row>
    <row r="606" ht="16.5" customHeight="1">
      <c r="A606" s="1"/>
      <c r="C606" s="3"/>
      <c r="D606" s="7"/>
      <c r="E606" s="7"/>
      <c r="F606" s="7"/>
    </row>
    <row r="607" ht="16.5" customHeight="1">
      <c r="A607" s="1"/>
      <c r="C607" s="3"/>
      <c r="D607" s="7"/>
      <c r="E607" s="7"/>
      <c r="F607" s="7"/>
    </row>
    <row r="608" ht="16.5" customHeight="1">
      <c r="A608" s="1"/>
      <c r="C608" s="3"/>
      <c r="D608" s="7"/>
      <c r="E608" s="7"/>
      <c r="F608" s="7"/>
    </row>
    <row r="609" ht="16.5" customHeight="1">
      <c r="A609" s="1"/>
      <c r="C609" s="3"/>
      <c r="D609" s="7"/>
      <c r="E609" s="7"/>
      <c r="F609" s="7"/>
    </row>
    <row r="610" ht="16.5" customHeight="1">
      <c r="A610" s="1"/>
      <c r="C610" s="3"/>
      <c r="D610" s="7"/>
      <c r="E610" s="7"/>
      <c r="F610" s="7"/>
    </row>
    <row r="611" ht="16.5" customHeight="1">
      <c r="A611" s="1"/>
      <c r="C611" s="3"/>
      <c r="D611" s="7"/>
      <c r="E611" s="7"/>
      <c r="F611" s="7"/>
    </row>
    <row r="612" ht="16.5" customHeight="1">
      <c r="A612" s="1"/>
      <c r="C612" s="3"/>
      <c r="D612" s="7"/>
      <c r="E612" s="7"/>
      <c r="F612" s="7"/>
    </row>
    <row r="613" ht="16.5" customHeight="1">
      <c r="A613" s="1"/>
      <c r="C613" s="3"/>
      <c r="D613" s="7"/>
      <c r="E613" s="7"/>
      <c r="F613" s="7"/>
    </row>
    <row r="614" ht="16.5" customHeight="1">
      <c r="A614" s="1"/>
      <c r="C614" s="3"/>
      <c r="D614" s="7"/>
      <c r="E614" s="7"/>
      <c r="F614" s="7"/>
    </row>
    <row r="615" ht="16.5" customHeight="1">
      <c r="A615" s="1"/>
      <c r="C615" s="3"/>
      <c r="D615" s="7"/>
      <c r="E615" s="7"/>
      <c r="F615" s="7"/>
    </row>
    <row r="616" ht="16.5" customHeight="1">
      <c r="A616" s="1"/>
      <c r="C616" s="3"/>
      <c r="D616" s="7"/>
      <c r="E616" s="7"/>
      <c r="F616" s="7"/>
    </row>
    <row r="617" ht="16.5" customHeight="1">
      <c r="A617" s="1"/>
      <c r="C617" s="3"/>
      <c r="D617" s="7"/>
      <c r="E617" s="7"/>
      <c r="F617" s="7"/>
    </row>
    <row r="618" ht="16.5" customHeight="1">
      <c r="A618" s="1"/>
      <c r="C618" s="3"/>
      <c r="D618" s="7"/>
      <c r="E618" s="7"/>
      <c r="F618" s="7"/>
    </row>
    <row r="619" ht="16.5" customHeight="1">
      <c r="A619" s="1"/>
      <c r="C619" s="3"/>
      <c r="D619" s="7"/>
      <c r="E619" s="7"/>
      <c r="F619" s="7"/>
    </row>
    <row r="620" ht="16.5" customHeight="1">
      <c r="A620" s="1"/>
      <c r="C620" s="3"/>
      <c r="D620" s="7"/>
      <c r="E620" s="7"/>
      <c r="F620" s="7"/>
    </row>
    <row r="621" ht="16.5" customHeight="1">
      <c r="A621" s="1"/>
      <c r="C621" s="3"/>
      <c r="D621" s="7"/>
      <c r="E621" s="7"/>
      <c r="F621" s="7"/>
    </row>
    <row r="622" ht="16.5" customHeight="1">
      <c r="A622" s="1"/>
      <c r="C622" s="3"/>
      <c r="D622" s="7"/>
      <c r="E622" s="7"/>
      <c r="F622" s="7"/>
    </row>
    <row r="623" ht="16.5" customHeight="1">
      <c r="A623" s="1"/>
      <c r="C623" s="3"/>
      <c r="D623" s="7"/>
      <c r="E623" s="7"/>
      <c r="F623" s="7"/>
    </row>
    <row r="624" ht="16.5" customHeight="1">
      <c r="A624" s="1"/>
      <c r="C624" s="3"/>
      <c r="D624" s="7"/>
      <c r="E624" s="7"/>
      <c r="F624" s="7"/>
    </row>
    <row r="625" ht="16.5" customHeight="1">
      <c r="A625" s="1"/>
      <c r="C625" s="3"/>
      <c r="D625" s="7"/>
      <c r="E625" s="7"/>
      <c r="F625" s="7"/>
    </row>
    <row r="626" ht="16.5" customHeight="1">
      <c r="A626" s="1"/>
      <c r="C626" s="3"/>
      <c r="D626" s="7"/>
      <c r="E626" s="7"/>
      <c r="F626" s="7"/>
    </row>
    <row r="627" ht="16.5" customHeight="1">
      <c r="A627" s="1"/>
      <c r="C627" s="3"/>
      <c r="D627" s="7"/>
      <c r="E627" s="7"/>
      <c r="F627" s="7"/>
    </row>
    <row r="628" ht="16.5" customHeight="1">
      <c r="A628" s="1"/>
      <c r="C628" s="3"/>
      <c r="D628" s="7"/>
      <c r="E628" s="7"/>
      <c r="F628" s="7"/>
    </row>
    <row r="629" ht="16.5" customHeight="1">
      <c r="A629" s="1"/>
      <c r="C629" s="3"/>
      <c r="D629" s="7"/>
      <c r="E629" s="7"/>
      <c r="F629" s="7"/>
    </row>
    <row r="630" ht="16.5" customHeight="1">
      <c r="A630" s="1"/>
      <c r="C630" s="3"/>
      <c r="D630" s="7"/>
      <c r="E630" s="7"/>
      <c r="F630" s="7"/>
    </row>
    <row r="631" ht="16.5" customHeight="1">
      <c r="A631" s="1"/>
      <c r="C631" s="3"/>
      <c r="D631" s="7"/>
      <c r="E631" s="7"/>
      <c r="F631" s="7"/>
    </row>
    <row r="632" ht="16.5" customHeight="1">
      <c r="A632" s="1"/>
      <c r="C632" s="3"/>
      <c r="D632" s="7"/>
      <c r="E632" s="7"/>
      <c r="F632" s="7"/>
    </row>
    <row r="633" ht="16.5" customHeight="1">
      <c r="A633" s="1"/>
      <c r="C633" s="3"/>
      <c r="D633" s="7"/>
      <c r="E633" s="7"/>
      <c r="F633" s="7"/>
    </row>
    <row r="634" ht="16.5" customHeight="1">
      <c r="A634" s="1"/>
      <c r="C634" s="3"/>
      <c r="D634" s="7"/>
      <c r="E634" s="7"/>
      <c r="F634" s="7"/>
    </row>
    <row r="635" ht="16.5" customHeight="1">
      <c r="A635" s="1"/>
      <c r="C635" s="3"/>
      <c r="D635" s="7"/>
      <c r="E635" s="7"/>
      <c r="F635" s="7"/>
    </row>
    <row r="636" ht="16.5" customHeight="1">
      <c r="A636" s="1"/>
      <c r="C636" s="3"/>
      <c r="D636" s="7"/>
      <c r="E636" s="7"/>
      <c r="F636" s="7"/>
    </row>
    <row r="637" ht="16.5" customHeight="1">
      <c r="A637" s="1"/>
      <c r="C637" s="3"/>
      <c r="D637" s="7"/>
      <c r="E637" s="7"/>
      <c r="F637" s="7"/>
    </row>
    <row r="638" ht="16.5" customHeight="1">
      <c r="A638" s="1"/>
      <c r="C638" s="3"/>
      <c r="D638" s="7"/>
      <c r="E638" s="7"/>
      <c r="F638" s="7"/>
    </row>
    <row r="639" ht="16.5" customHeight="1">
      <c r="A639" s="1"/>
      <c r="C639" s="3"/>
      <c r="D639" s="7"/>
      <c r="E639" s="7"/>
      <c r="F639" s="7"/>
    </row>
    <row r="640" ht="16.5" customHeight="1">
      <c r="A640" s="1"/>
      <c r="C640" s="3"/>
      <c r="D640" s="7"/>
      <c r="E640" s="7"/>
      <c r="F640" s="7"/>
    </row>
    <row r="641" ht="16.5" customHeight="1">
      <c r="A641" s="1"/>
      <c r="C641" s="3"/>
      <c r="D641" s="7"/>
      <c r="E641" s="7"/>
      <c r="F641" s="7"/>
    </row>
    <row r="642" ht="16.5" customHeight="1">
      <c r="A642" s="1"/>
      <c r="C642" s="3"/>
      <c r="D642" s="7"/>
      <c r="E642" s="7"/>
      <c r="F642" s="7"/>
    </row>
    <row r="643" ht="16.5" customHeight="1">
      <c r="A643" s="1"/>
      <c r="C643" s="3"/>
      <c r="D643" s="7"/>
      <c r="E643" s="7"/>
      <c r="F643" s="7"/>
    </row>
    <row r="644" ht="16.5" customHeight="1">
      <c r="A644" s="1"/>
      <c r="C644" s="3"/>
      <c r="D644" s="7"/>
      <c r="E644" s="7"/>
      <c r="F644" s="7"/>
    </row>
    <row r="645" ht="16.5" customHeight="1">
      <c r="A645" s="1"/>
      <c r="C645" s="3"/>
      <c r="D645" s="7"/>
      <c r="E645" s="7"/>
      <c r="F645" s="7"/>
    </row>
    <row r="646" ht="16.5" customHeight="1">
      <c r="A646" s="1"/>
      <c r="C646" s="3"/>
      <c r="D646" s="7"/>
      <c r="E646" s="7"/>
      <c r="F646" s="7"/>
    </row>
    <row r="647" ht="16.5" customHeight="1">
      <c r="A647" s="1"/>
      <c r="C647" s="3"/>
      <c r="D647" s="7"/>
      <c r="E647" s="7"/>
      <c r="F647" s="7"/>
    </row>
    <row r="648" ht="16.5" customHeight="1">
      <c r="A648" s="1"/>
      <c r="C648" s="3"/>
      <c r="D648" s="7"/>
      <c r="E648" s="7"/>
      <c r="F648" s="7"/>
    </row>
    <row r="649" ht="16.5" customHeight="1">
      <c r="A649" s="1"/>
      <c r="C649" s="3"/>
      <c r="D649" s="7"/>
      <c r="E649" s="7"/>
      <c r="F649" s="7"/>
    </row>
    <row r="650" ht="16.5" customHeight="1">
      <c r="A650" s="1"/>
      <c r="C650" s="3"/>
      <c r="D650" s="7"/>
      <c r="E650" s="7"/>
      <c r="F650" s="7"/>
    </row>
    <row r="651" ht="16.5" customHeight="1">
      <c r="A651" s="1"/>
      <c r="C651" s="3"/>
      <c r="D651" s="7"/>
      <c r="E651" s="7"/>
      <c r="F651" s="7"/>
    </row>
    <row r="652" ht="16.5" customHeight="1">
      <c r="A652" s="1"/>
      <c r="C652" s="3"/>
      <c r="D652" s="7"/>
      <c r="E652" s="7"/>
      <c r="F652" s="7"/>
    </row>
    <row r="653" ht="16.5" customHeight="1">
      <c r="A653" s="1"/>
      <c r="C653" s="3"/>
      <c r="D653" s="7"/>
      <c r="E653" s="7"/>
      <c r="F653" s="7"/>
    </row>
    <row r="654" ht="16.5" customHeight="1">
      <c r="A654" s="1"/>
      <c r="C654" s="3"/>
      <c r="D654" s="7"/>
      <c r="E654" s="7"/>
      <c r="F654" s="7"/>
    </row>
    <row r="655" ht="16.5" customHeight="1">
      <c r="A655" s="1"/>
      <c r="C655" s="3"/>
      <c r="D655" s="7"/>
      <c r="E655" s="7"/>
      <c r="F655" s="7"/>
    </row>
    <row r="656" ht="16.5" customHeight="1">
      <c r="A656" s="1"/>
      <c r="C656" s="3"/>
      <c r="D656" s="7"/>
      <c r="E656" s="7"/>
      <c r="F656" s="7"/>
    </row>
    <row r="657" ht="16.5" customHeight="1">
      <c r="A657" s="1"/>
      <c r="C657" s="3"/>
      <c r="D657" s="7"/>
      <c r="E657" s="7"/>
      <c r="F657" s="7"/>
    </row>
    <row r="658" ht="16.5" customHeight="1">
      <c r="A658" s="1"/>
      <c r="C658" s="3"/>
      <c r="D658" s="7"/>
      <c r="E658" s="7"/>
      <c r="F658" s="7"/>
    </row>
    <row r="659" ht="16.5" customHeight="1">
      <c r="A659" s="1"/>
      <c r="C659" s="3"/>
      <c r="D659" s="7"/>
      <c r="E659" s="7"/>
      <c r="F659" s="7"/>
    </row>
    <row r="660" ht="16.5" customHeight="1">
      <c r="A660" s="1"/>
      <c r="C660" s="3"/>
      <c r="D660" s="7"/>
      <c r="E660" s="7"/>
      <c r="F660" s="7"/>
    </row>
    <row r="661" ht="16.5" customHeight="1">
      <c r="A661" s="1"/>
      <c r="C661" s="3"/>
      <c r="D661" s="7"/>
      <c r="E661" s="7"/>
      <c r="F661" s="7"/>
    </row>
    <row r="662" ht="16.5" customHeight="1">
      <c r="A662" s="1"/>
      <c r="C662" s="3"/>
      <c r="D662" s="7"/>
      <c r="E662" s="7"/>
      <c r="F662" s="7"/>
    </row>
    <row r="663" ht="16.5" customHeight="1">
      <c r="A663" s="1"/>
      <c r="C663" s="3"/>
      <c r="D663" s="7"/>
      <c r="E663" s="7"/>
      <c r="F663" s="7"/>
    </row>
    <row r="664" ht="16.5" customHeight="1">
      <c r="A664" s="1"/>
      <c r="C664" s="3"/>
      <c r="D664" s="7"/>
      <c r="E664" s="7"/>
      <c r="F664" s="7"/>
    </row>
    <row r="665" ht="16.5" customHeight="1">
      <c r="A665" s="1"/>
      <c r="C665" s="3"/>
      <c r="D665" s="7"/>
      <c r="E665" s="7"/>
      <c r="F665" s="7"/>
    </row>
    <row r="666" ht="16.5" customHeight="1">
      <c r="A666" s="1"/>
      <c r="C666" s="3"/>
      <c r="D666" s="7"/>
      <c r="E666" s="7"/>
      <c r="F666" s="7"/>
    </row>
    <row r="667" ht="16.5" customHeight="1">
      <c r="A667" s="1"/>
      <c r="C667" s="3"/>
      <c r="D667" s="7"/>
      <c r="E667" s="7"/>
      <c r="F667" s="7"/>
    </row>
    <row r="668" ht="16.5" customHeight="1">
      <c r="A668" s="1"/>
      <c r="C668" s="3"/>
      <c r="D668" s="7"/>
      <c r="E668" s="7"/>
      <c r="F668" s="7"/>
    </row>
    <row r="669" ht="16.5" customHeight="1">
      <c r="A669" s="1"/>
      <c r="C669" s="3"/>
      <c r="D669" s="7"/>
      <c r="E669" s="7"/>
      <c r="F669" s="7"/>
    </row>
    <row r="670" ht="16.5" customHeight="1">
      <c r="A670" s="1"/>
      <c r="C670" s="3"/>
      <c r="D670" s="7"/>
      <c r="E670" s="7"/>
      <c r="F670" s="7"/>
    </row>
    <row r="671" ht="16.5" customHeight="1">
      <c r="A671" s="1"/>
      <c r="C671" s="3"/>
      <c r="D671" s="7"/>
      <c r="E671" s="7"/>
      <c r="F671" s="7"/>
    </row>
    <row r="672" ht="16.5" customHeight="1">
      <c r="A672" s="1"/>
      <c r="C672" s="3"/>
      <c r="D672" s="7"/>
      <c r="E672" s="7"/>
      <c r="F672" s="7"/>
    </row>
    <row r="673" ht="16.5" customHeight="1">
      <c r="A673" s="1"/>
      <c r="C673" s="3"/>
      <c r="D673" s="7"/>
      <c r="E673" s="7"/>
      <c r="F673" s="7"/>
    </row>
    <row r="674" ht="16.5" customHeight="1">
      <c r="A674" s="1"/>
      <c r="C674" s="3"/>
      <c r="D674" s="7"/>
      <c r="E674" s="7"/>
      <c r="F674" s="7"/>
    </row>
    <row r="675" ht="16.5" customHeight="1">
      <c r="A675" s="1"/>
      <c r="C675" s="3"/>
      <c r="D675" s="7"/>
      <c r="E675" s="7"/>
      <c r="F675" s="7"/>
    </row>
    <row r="676" ht="16.5" customHeight="1">
      <c r="A676" s="1"/>
      <c r="C676" s="3"/>
      <c r="D676" s="7"/>
      <c r="E676" s="7"/>
      <c r="F676" s="7"/>
    </row>
    <row r="677" ht="16.5" customHeight="1">
      <c r="A677" s="1"/>
      <c r="C677" s="3"/>
      <c r="D677" s="7"/>
      <c r="E677" s="7"/>
      <c r="F677" s="7"/>
    </row>
    <row r="678" ht="16.5" customHeight="1">
      <c r="A678" s="1"/>
      <c r="C678" s="3"/>
      <c r="D678" s="7"/>
      <c r="E678" s="7"/>
      <c r="F678" s="7"/>
    </row>
    <row r="679" ht="16.5" customHeight="1">
      <c r="A679" s="1"/>
      <c r="C679" s="3"/>
      <c r="D679" s="7"/>
      <c r="E679" s="7"/>
      <c r="F679" s="7"/>
    </row>
    <row r="680" ht="16.5" customHeight="1">
      <c r="A680" s="1"/>
      <c r="C680" s="3"/>
      <c r="D680" s="7"/>
      <c r="E680" s="7"/>
      <c r="F680" s="7"/>
    </row>
    <row r="681" ht="16.5" customHeight="1">
      <c r="A681" s="1"/>
      <c r="C681" s="3"/>
      <c r="D681" s="7"/>
      <c r="E681" s="7"/>
      <c r="F681" s="7"/>
    </row>
    <row r="682" ht="16.5" customHeight="1">
      <c r="A682" s="1"/>
      <c r="C682" s="3"/>
      <c r="D682" s="7"/>
      <c r="E682" s="7"/>
      <c r="F682" s="7"/>
    </row>
    <row r="683" ht="16.5" customHeight="1">
      <c r="A683" s="1"/>
      <c r="C683" s="3"/>
      <c r="D683" s="7"/>
      <c r="E683" s="7"/>
      <c r="F683" s="7"/>
    </row>
    <row r="684" ht="16.5" customHeight="1">
      <c r="A684" s="1"/>
      <c r="C684" s="3"/>
      <c r="D684" s="7"/>
      <c r="E684" s="7"/>
      <c r="F684" s="7"/>
    </row>
    <row r="685" ht="16.5" customHeight="1">
      <c r="A685" s="1"/>
      <c r="C685" s="3"/>
      <c r="D685" s="7"/>
      <c r="E685" s="7"/>
      <c r="F685" s="7"/>
    </row>
    <row r="686" ht="16.5" customHeight="1">
      <c r="A686" s="1"/>
      <c r="C686" s="3"/>
      <c r="D686" s="7"/>
      <c r="E686" s="7"/>
      <c r="F686" s="7"/>
    </row>
    <row r="687" ht="16.5" customHeight="1">
      <c r="A687" s="1"/>
      <c r="C687" s="3"/>
      <c r="D687" s="7"/>
      <c r="E687" s="7"/>
      <c r="F687" s="7"/>
    </row>
    <row r="688" ht="16.5" customHeight="1">
      <c r="A688" s="1"/>
      <c r="C688" s="3"/>
      <c r="D688" s="7"/>
      <c r="E688" s="7"/>
      <c r="F688" s="7"/>
    </row>
    <row r="689" ht="16.5" customHeight="1">
      <c r="A689" s="1"/>
      <c r="C689" s="3"/>
      <c r="D689" s="7"/>
      <c r="E689" s="7"/>
      <c r="F689" s="7"/>
    </row>
    <row r="690" ht="16.5" customHeight="1">
      <c r="A690" s="1"/>
      <c r="C690" s="3"/>
      <c r="D690" s="7"/>
      <c r="E690" s="7"/>
      <c r="F690" s="7"/>
    </row>
    <row r="691" ht="16.5" customHeight="1">
      <c r="A691" s="1"/>
      <c r="C691" s="3"/>
      <c r="D691" s="7"/>
      <c r="E691" s="7"/>
      <c r="F691" s="7"/>
    </row>
    <row r="692" ht="16.5" customHeight="1">
      <c r="A692" s="1"/>
      <c r="C692" s="3"/>
      <c r="D692" s="7"/>
      <c r="E692" s="7"/>
      <c r="F692" s="7"/>
    </row>
    <row r="693" ht="16.5" customHeight="1">
      <c r="A693" s="1"/>
      <c r="C693" s="3"/>
      <c r="D693" s="7"/>
      <c r="E693" s="7"/>
      <c r="F693" s="7"/>
    </row>
    <row r="694" ht="16.5" customHeight="1">
      <c r="A694" s="1"/>
      <c r="C694" s="3"/>
      <c r="D694" s="7"/>
      <c r="E694" s="7"/>
      <c r="F694" s="7"/>
    </row>
    <row r="695" ht="16.5" customHeight="1">
      <c r="A695" s="1"/>
      <c r="C695" s="3"/>
      <c r="D695" s="7"/>
      <c r="E695" s="7"/>
      <c r="F695" s="7"/>
    </row>
    <row r="696" ht="16.5" customHeight="1">
      <c r="A696" s="1"/>
      <c r="C696" s="3"/>
      <c r="D696" s="7"/>
      <c r="E696" s="7"/>
      <c r="F696" s="7"/>
    </row>
    <row r="697" ht="16.5" customHeight="1">
      <c r="A697" s="1"/>
      <c r="C697" s="3"/>
      <c r="D697" s="7"/>
      <c r="E697" s="7"/>
      <c r="F697" s="7"/>
    </row>
    <row r="698" ht="16.5" customHeight="1">
      <c r="A698" s="1"/>
      <c r="C698" s="3"/>
      <c r="D698" s="7"/>
      <c r="E698" s="7"/>
      <c r="F698" s="7"/>
    </row>
    <row r="699" ht="16.5" customHeight="1">
      <c r="A699" s="1"/>
      <c r="C699" s="3"/>
      <c r="D699" s="7"/>
      <c r="E699" s="7"/>
      <c r="F699" s="7"/>
    </row>
    <row r="700" ht="16.5" customHeight="1">
      <c r="A700" s="1"/>
      <c r="C700" s="3"/>
      <c r="D700" s="7"/>
      <c r="E700" s="7"/>
      <c r="F700" s="7"/>
    </row>
    <row r="701" ht="16.5" customHeight="1">
      <c r="A701" s="1"/>
      <c r="C701" s="3"/>
      <c r="D701" s="7"/>
      <c r="E701" s="7"/>
      <c r="F701" s="7"/>
    </row>
    <row r="702" ht="16.5" customHeight="1">
      <c r="A702" s="1"/>
      <c r="C702" s="3"/>
      <c r="D702" s="7"/>
      <c r="E702" s="7"/>
      <c r="F702" s="7"/>
    </row>
    <row r="703" ht="16.5" customHeight="1">
      <c r="A703" s="1"/>
      <c r="C703" s="3"/>
      <c r="D703" s="7"/>
      <c r="E703" s="7"/>
      <c r="F703" s="7"/>
    </row>
    <row r="704" ht="16.5" customHeight="1">
      <c r="A704" s="1"/>
      <c r="C704" s="3"/>
      <c r="D704" s="7"/>
      <c r="E704" s="7"/>
      <c r="F704" s="7"/>
    </row>
    <row r="705" ht="16.5" customHeight="1">
      <c r="A705" s="1"/>
      <c r="C705" s="3"/>
      <c r="D705" s="7"/>
      <c r="E705" s="7"/>
      <c r="F705" s="7"/>
    </row>
    <row r="706" ht="16.5" customHeight="1">
      <c r="A706" s="1"/>
      <c r="C706" s="3"/>
      <c r="D706" s="7"/>
      <c r="E706" s="7"/>
      <c r="F706" s="7"/>
    </row>
    <row r="707" ht="16.5" customHeight="1">
      <c r="A707" s="1"/>
      <c r="C707" s="3"/>
      <c r="D707" s="7"/>
      <c r="E707" s="7"/>
      <c r="F707" s="7"/>
    </row>
    <row r="708" ht="16.5" customHeight="1">
      <c r="A708" s="1"/>
      <c r="C708" s="3"/>
      <c r="D708" s="7"/>
      <c r="E708" s="7"/>
      <c r="F708" s="7"/>
    </row>
    <row r="709" ht="16.5" customHeight="1">
      <c r="A709" s="1"/>
      <c r="C709" s="3"/>
      <c r="D709" s="7"/>
      <c r="E709" s="7"/>
      <c r="F709" s="7"/>
    </row>
    <row r="710" ht="16.5" customHeight="1">
      <c r="A710" s="1"/>
      <c r="C710" s="3"/>
      <c r="D710" s="7"/>
      <c r="E710" s="7"/>
      <c r="F710" s="7"/>
    </row>
    <row r="711" ht="16.5" customHeight="1">
      <c r="A711" s="1"/>
      <c r="C711" s="3"/>
      <c r="D711" s="7"/>
      <c r="E711" s="7"/>
      <c r="F711" s="7"/>
    </row>
    <row r="712" ht="16.5" customHeight="1">
      <c r="A712" s="1"/>
      <c r="C712" s="3"/>
      <c r="D712" s="7"/>
      <c r="E712" s="7"/>
      <c r="F712" s="7"/>
    </row>
    <row r="713" ht="16.5" customHeight="1">
      <c r="A713" s="1"/>
      <c r="C713" s="3"/>
      <c r="D713" s="7"/>
      <c r="E713" s="7"/>
      <c r="F713" s="7"/>
    </row>
    <row r="714" ht="16.5" customHeight="1">
      <c r="A714" s="1"/>
      <c r="C714" s="3"/>
      <c r="D714" s="7"/>
      <c r="E714" s="7"/>
      <c r="F714" s="7"/>
    </row>
    <row r="715" ht="16.5" customHeight="1">
      <c r="A715" s="1"/>
      <c r="C715" s="3"/>
      <c r="D715" s="7"/>
      <c r="E715" s="7"/>
      <c r="F715" s="7"/>
    </row>
    <row r="716" ht="16.5" customHeight="1">
      <c r="A716" s="1"/>
      <c r="C716" s="3"/>
      <c r="D716" s="7"/>
      <c r="E716" s="7"/>
      <c r="F716" s="7"/>
    </row>
    <row r="717" ht="16.5" customHeight="1">
      <c r="A717" s="1"/>
      <c r="C717" s="3"/>
      <c r="D717" s="7"/>
      <c r="E717" s="7"/>
      <c r="F717" s="7"/>
    </row>
    <row r="718" ht="16.5" customHeight="1">
      <c r="A718" s="1"/>
      <c r="C718" s="3"/>
      <c r="D718" s="7"/>
      <c r="E718" s="7"/>
      <c r="F718" s="7"/>
    </row>
    <row r="719" ht="16.5" customHeight="1">
      <c r="A719" s="1"/>
      <c r="C719" s="3"/>
      <c r="D719" s="7"/>
      <c r="E719" s="7"/>
      <c r="F719" s="7"/>
    </row>
    <row r="720" ht="16.5" customHeight="1">
      <c r="A720" s="1"/>
      <c r="C720" s="3"/>
      <c r="D720" s="7"/>
      <c r="E720" s="7"/>
      <c r="F720" s="7"/>
    </row>
    <row r="721" ht="16.5" customHeight="1">
      <c r="A721" s="1"/>
      <c r="C721" s="3"/>
      <c r="D721" s="7"/>
      <c r="E721" s="7"/>
      <c r="F721" s="7"/>
    </row>
    <row r="722" ht="16.5" customHeight="1">
      <c r="A722" s="1"/>
      <c r="C722" s="3"/>
      <c r="D722" s="7"/>
      <c r="E722" s="7"/>
      <c r="F722" s="7"/>
    </row>
    <row r="723" ht="16.5" customHeight="1">
      <c r="A723" s="1"/>
      <c r="C723" s="3"/>
      <c r="D723" s="7"/>
      <c r="E723" s="7"/>
      <c r="F723" s="7"/>
    </row>
    <row r="724" ht="16.5" customHeight="1">
      <c r="A724" s="1"/>
      <c r="C724" s="3"/>
      <c r="D724" s="7"/>
      <c r="E724" s="7"/>
      <c r="F724" s="7"/>
    </row>
    <row r="725" ht="16.5" customHeight="1">
      <c r="A725" s="1"/>
      <c r="C725" s="3"/>
      <c r="D725" s="7"/>
      <c r="E725" s="7"/>
      <c r="F725" s="7"/>
    </row>
    <row r="726" ht="16.5" customHeight="1">
      <c r="A726" s="1"/>
      <c r="C726" s="3"/>
      <c r="D726" s="7"/>
      <c r="E726" s="7"/>
      <c r="F726" s="7"/>
    </row>
    <row r="727" ht="16.5" customHeight="1">
      <c r="A727" s="1"/>
      <c r="C727" s="3"/>
      <c r="D727" s="7"/>
      <c r="E727" s="7"/>
      <c r="F727" s="7"/>
    </row>
    <row r="728" ht="16.5" customHeight="1">
      <c r="A728" s="1"/>
      <c r="C728" s="3"/>
      <c r="D728" s="7"/>
      <c r="E728" s="7"/>
      <c r="F728" s="7"/>
    </row>
    <row r="729" ht="16.5" customHeight="1">
      <c r="A729" s="1"/>
      <c r="C729" s="3"/>
      <c r="D729" s="7"/>
      <c r="E729" s="7"/>
      <c r="F729" s="7"/>
    </row>
    <row r="730" ht="16.5" customHeight="1">
      <c r="A730" s="1"/>
      <c r="C730" s="3"/>
      <c r="D730" s="7"/>
      <c r="E730" s="7"/>
      <c r="F730" s="7"/>
    </row>
    <row r="731" ht="16.5" customHeight="1">
      <c r="A731" s="1"/>
      <c r="C731" s="3"/>
      <c r="D731" s="7"/>
      <c r="E731" s="7"/>
      <c r="F731" s="7"/>
    </row>
    <row r="732" ht="16.5" customHeight="1">
      <c r="A732" s="1"/>
      <c r="C732" s="3"/>
      <c r="D732" s="7"/>
      <c r="E732" s="7"/>
      <c r="F732" s="7"/>
    </row>
    <row r="733" ht="16.5" customHeight="1">
      <c r="A733" s="1"/>
      <c r="C733" s="3"/>
      <c r="D733" s="7"/>
      <c r="E733" s="7"/>
      <c r="F733" s="7"/>
    </row>
    <row r="734" ht="16.5" customHeight="1">
      <c r="A734" s="1"/>
      <c r="C734" s="3"/>
      <c r="D734" s="7"/>
      <c r="E734" s="7"/>
      <c r="F734" s="7"/>
    </row>
    <row r="735" ht="16.5" customHeight="1">
      <c r="A735" s="1"/>
      <c r="C735" s="3"/>
      <c r="D735" s="7"/>
      <c r="E735" s="7"/>
      <c r="F735" s="7"/>
    </row>
    <row r="736" ht="16.5" customHeight="1">
      <c r="A736" s="1"/>
      <c r="C736" s="3"/>
      <c r="D736" s="7"/>
      <c r="E736" s="7"/>
      <c r="F736" s="7"/>
    </row>
    <row r="737" ht="16.5" customHeight="1">
      <c r="A737" s="1"/>
      <c r="C737" s="3"/>
      <c r="D737" s="7"/>
      <c r="E737" s="7"/>
      <c r="F737" s="7"/>
    </row>
    <row r="738" ht="16.5" customHeight="1">
      <c r="A738" s="1"/>
      <c r="C738" s="3"/>
      <c r="D738" s="7"/>
      <c r="E738" s="7"/>
      <c r="F738" s="7"/>
    </row>
    <row r="739" ht="16.5" customHeight="1">
      <c r="A739" s="1"/>
      <c r="C739" s="3"/>
      <c r="D739" s="7"/>
      <c r="E739" s="7"/>
      <c r="F739" s="7"/>
    </row>
    <row r="740" ht="16.5" customHeight="1">
      <c r="A740" s="1"/>
      <c r="C740" s="3"/>
      <c r="D740" s="7"/>
      <c r="E740" s="7"/>
      <c r="F740" s="7"/>
    </row>
    <row r="741" ht="16.5" customHeight="1">
      <c r="A741" s="1"/>
      <c r="C741" s="3"/>
      <c r="D741" s="7"/>
      <c r="E741" s="7"/>
      <c r="F741" s="7"/>
    </row>
    <row r="742" ht="16.5" customHeight="1">
      <c r="A742" s="1"/>
      <c r="C742" s="3"/>
      <c r="D742" s="7"/>
      <c r="E742" s="7"/>
      <c r="F742" s="7"/>
    </row>
    <row r="743" ht="16.5" customHeight="1">
      <c r="A743" s="1"/>
      <c r="C743" s="3"/>
      <c r="D743" s="7"/>
      <c r="E743" s="7"/>
      <c r="F743" s="7"/>
    </row>
    <row r="744" ht="16.5" customHeight="1">
      <c r="A744" s="1"/>
      <c r="C744" s="3"/>
      <c r="D744" s="7"/>
      <c r="E744" s="7"/>
      <c r="F744" s="7"/>
    </row>
    <row r="745" ht="16.5" customHeight="1">
      <c r="A745" s="1"/>
      <c r="C745" s="3"/>
      <c r="D745" s="7"/>
      <c r="E745" s="7"/>
      <c r="F745" s="7"/>
    </row>
    <row r="746" ht="16.5" customHeight="1">
      <c r="A746" s="1"/>
      <c r="C746" s="3"/>
      <c r="D746" s="7"/>
      <c r="E746" s="7"/>
      <c r="F746" s="7"/>
    </row>
    <row r="747" ht="16.5" customHeight="1">
      <c r="A747" s="1"/>
      <c r="C747" s="3"/>
      <c r="D747" s="7"/>
      <c r="E747" s="7"/>
      <c r="F747" s="7"/>
    </row>
    <row r="748" ht="16.5" customHeight="1">
      <c r="A748" s="1"/>
      <c r="C748" s="3"/>
      <c r="D748" s="7"/>
      <c r="E748" s="7"/>
      <c r="F748" s="7"/>
    </row>
    <row r="749" ht="16.5" customHeight="1">
      <c r="A749" s="1"/>
      <c r="C749" s="3"/>
      <c r="D749" s="7"/>
      <c r="E749" s="7"/>
      <c r="F749" s="7"/>
    </row>
    <row r="750" ht="16.5" customHeight="1">
      <c r="A750" s="1"/>
      <c r="C750" s="3"/>
      <c r="D750" s="7"/>
      <c r="E750" s="7"/>
      <c r="F750" s="7"/>
    </row>
    <row r="751" ht="16.5" customHeight="1">
      <c r="A751" s="1"/>
      <c r="C751" s="3"/>
      <c r="D751" s="7"/>
      <c r="E751" s="7"/>
      <c r="F751" s="7"/>
    </row>
    <row r="752" ht="16.5" customHeight="1">
      <c r="A752" s="1"/>
      <c r="C752" s="3"/>
      <c r="D752" s="7"/>
      <c r="E752" s="7"/>
      <c r="F752" s="7"/>
    </row>
    <row r="753" ht="16.5" customHeight="1">
      <c r="A753" s="1"/>
      <c r="C753" s="3"/>
      <c r="D753" s="7"/>
      <c r="E753" s="7"/>
      <c r="F753" s="7"/>
    </row>
    <row r="754" ht="16.5" customHeight="1">
      <c r="A754" s="1"/>
      <c r="C754" s="3"/>
      <c r="D754" s="7"/>
      <c r="E754" s="7"/>
      <c r="F754" s="7"/>
    </row>
    <row r="755" ht="16.5" customHeight="1">
      <c r="A755" s="1"/>
      <c r="C755" s="3"/>
      <c r="D755" s="7"/>
      <c r="E755" s="7"/>
      <c r="F755" s="7"/>
    </row>
    <row r="756" ht="16.5" customHeight="1">
      <c r="A756" s="1"/>
      <c r="C756" s="3"/>
      <c r="D756" s="7"/>
      <c r="E756" s="7"/>
      <c r="F756" s="7"/>
    </row>
    <row r="757" ht="16.5" customHeight="1">
      <c r="A757" s="1"/>
      <c r="C757" s="3"/>
      <c r="D757" s="7"/>
      <c r="E757" s="7"/>
      <c r="F757" s="7"/>
    </row>
    <row r="758" ht="16.5" customHeight="1">
      <c r="A758" s="1"/>
      <c r="C758" s="3"/>
      <c r="D758" s="7"/>
      <c r="E758" s="7"/>
      <c r="F758" s="7"/>
    </row>
    <row r="759" ht="16.5" customHeight="1">
      <c r="A759" s="1"/>
      <c r="C759" s="3"/>
      <c r="D759" s="7"/>
      <c r="E759" s="7"/>
      <c r="F759" s="7"/>
    </row>
    <row r="760" ht="16.5" customHeight="1">
      <c r="A760" s="1"/>
      <c r="C760" s="3"/>
      <c r="D760" s="7"/>
      <c r="E760" s="7"/>
      <c r="F760" s="7"/>
    </row>
    <row r="761" ht="16.5" customHeight="1">
      <c r="A761" s="1"/>
      <c r="C761" s="3"/>
      <c r="D761" s="7"/>
      <c r="E761" s="7"/>
      <c r="F761" s="7"/>
    </row>
    <row r="762" ht="16.5" customHeight="1">
      <c r="A762" s="1"/>
      <c r="C762" s="3"/>
      <c r="D762" s="7"/>
      <c r="E762" s="7"/>
      <c r="F762" s="7"/>
    </row>
    <row r="763" ht="16.5" customHeight="1">
      <c r="A763" s="1"/>
      <c r="C763" s="3"/>
      <c r="D763" s="7"/>
      <c r="E763" s="7"/>
      <c r="F763" s="7"/>
    </row>
    <row r="764" ht="16.5" customHeight="1">
      <c r="A764" s="1"/>
      <c r="C764" s="3"/>
      <c r="D764" s="7"/>
      <c r="E764" s="7"/>
      <c r="F764" s="7"/>
    </row>
    <row r="765" ht="16.5" customHeight="1">
      <c r="A765" s="1"/>
      <c r="C765" s="3"/>
      <c r="D765" s="7"/>
      <c r="E765" s="7"/>
      <c r="F765" s="7"/>
    </row>
    <row r="766" ht="16.5" customHeight="1">
      <c r="A766" s="1"/>
      <c r="C766" s="3"/>
      <c r="D766" s="7"/>
      <c r="E766" s="7"/>
      <c r="F766" s="7"/>
    </row>
    <row r="767" ht="16.5" customHeight="1">
      <c r="A767" s="1"/>
      <c r="C767" s="3"/>
      <c r="D767" s="7"/>
      <c r="E767" s="7"/>
      <c r="F767" s="7"/>
    </row>
    <row r="768" ht="16.5" customHeight="1">
      <c r="A768" s="1"/>
      <c r="C768" s="3"/>
      <c r="D768" s="7"/>
      <c r="E768" s="7"/>
      <c r="F768" s="7"/>
    </row>
    <row r="769" ht="16.5" customHeight="1">
      <c r="A769" s="1"/>
      <c r="C769" s="3"/>
      <c r="D769" s="7"/>
      <c r="E769" s="7"/>
      <c r="F769" s="7"/>
    </row>
    <row r="770" ht="16.5" customHeight="1">
      <c r="A770" s="1"/>
      <c r="C770" s="3"/>
      <c r="D770" s="7"/>
      <c r="E770" s="7"/>
      <c r="F770" s="7"/>
    </row>
    <row r="771" ht="16.5" customHeight="1">
      <c r="A771" s="1"/>
      <c r="C771" s="3"/>
      <c r="D771" s="7"/>
      <c r="E771" s="7"/>
      <c r="F771" s="7"/>
    </row>
    <row r="772" ht="16.5" customHeight="1">
      <c r="A772" s="1"/>
      <c r="C772" s="3"/>
      <c r="D772" s="7"/>
      <c r="E772" s="7"/>
      <c r="F772" s="7"/>
    </row>
    <row r="773" ht="16.5" customHeight="1">
      <c r="A773" s="1"/>
      <c r="C773" s="3"/>
      <c r="D773" s="7"/>
      <c r="E773" s="7"/>
      <c r="F773" s="7"/>
    </row>
    <row r="774" ht="16.5" customHeight="1">
      <c r="A774" s="1"/>
      <c r="C774" s="3"/>
      <c r="D774" s="7"/>
      <c r="E774" s="7"/>
      <c r="F774" s="7"/>
    </row>
    <row r="775" ht="16.5" customHeight="1">
      <c r="A775" s="1"/>
      <c r="C775" s="3"/>
      <c r="D775" s="7"/>
      <c r="E775" s="7"/>
      <c r="F775" s="7"/>
    </row>
    <row r="776" ht="16.5" customHeight="1">
      <c r="A776" s="1"/>
      <c r="C776" s="3"/>
      <c r="D776" s="7"/>
      <c r="E776" s="7"/>
      <c r="F776" s="7"/>
    </row>
    <row r="777" ht="16.5" customHeight="1">
      <c r="A777" s="1"/>
      <c r="C777" s="3"/>
      <c r="D777" s="7"/>
      <c r="E777" s="7"/>
      <c r="F777" s="7"/>
    </row>
    <row r="778" ht="16.5" customHeight="1">
      <c r="A778" s="1"/>
      <c r="C778" s="3"/>
      <c r="D778" s="7"/>
      <c r="E778" s="7"/>
      <c r="F778" s="7"/>
    </row>
    <row r="779" ht="16.5" customHeight="1">
      <c r="A779" s="1"/>
      <c r="C779" s="3"/>
      <c r="D779" s="7"/>
      <c r="E779" s="7"/>
      <c r="F779" s="7"/>
    </row>
    <row r="780" ht="16.5" customHeight="1">
      <c r="A780" s="1"/>
      <c r="C780" s="3"/>
      <c r="D780" s="7"/>
      <c r="E780" s="7"/>
      <c r="F780" s="7"/>
    </row>
    <row r="781" ht="16.5" customHeight="1">
      <c r="A781" s="1"/>
      <c r="C781" s="3"/>
      <c r="D781" s="7"/>
      <c r="E781" s="7"/>
      <c r="F781" s="7"/>
    </row>
    <row r="782" ht="16.5" customHeight="1">
      <c r="A782" s="1"/>
      <c r="C782" s="3"/>
      <c r="D782" s="7"/>
      <c r="E782" s="7"/>
      <c r="F782" s="7"/>
    </row>
    <row r="783" ht="16.5" customHeight="1">
      <c r="A783" s="1"/>
      <c r="C783" s="3"/>
      <c r="D783" s="7"/>
      <c r="E783" s="7"/>
      <c r="F783" s="7"/>
    </row>
    <row r="784" ht="16.5" customHeight="1">
      <c r="A784" s="1"/>
      <c r="C784" s="3"/>
      <c r="D784" s="7"/>
      <c r="E784" s="7"/>
      <c r="F784" s="7"/>
    </row>
    <row r="785" ht="16.5" customHeight="1">
      <c r="A785" s="1"/>
      <c r="C785" s="3"/>
      <c r="D785" s="7"/>
      <c r="E785" s="7"/>
      <c r="F785" s="7"/>
    </row>
    <row r="786" ht="16.5" customHeight="1">
      <c r="A786" s="1"/>
      <c r="C786" s="3"/>
      <c r="D786" s="7"/>
      <c r="E786" s="7"/>
      <c r="F786" s="7"/>
    </row>
    <row r="787" ht="16.5" customHeight="1">
      <c r="A787" s="1"/>
      <c r="C787" s="3"/>
      <c r="D787" s="7"/>
      <c r="E787" s="7"/>
      <c r="F787" s="7"/>
    </row>
    <row r="788" ht="16.5" customHeight="1">
      <c r="A788" s="1"/>
      <c r="C788" s="3"/>
      <c r="D788" s="7"/>
      <c r="E788" s="7"/>
      <c r="F788" s="7"/>
    </row>
    <row r="789" ht="16.5" customHeight="1">
      <c r="A789" s="1"/>
      <c r="C789" s="3"/>
      <c r="D789" s="7"/>
      <c r="E789" s="7"/>
      <c r="F789" s="7"/>
    </row>
    <row r="790" ht="16.5" customHeight="1">
      <c r="A790" s="1"/>
      <c r="C790" s="3"/>
      <c r="D790" s="7"/>
      <c r="E790" s="7"/>
      <c r="F790" s="7"/>
    </row>
    <row r="791" ht="16.5" customHeight="1">
      <c r="A791" s="1"/>
      <c r="C791" s="3"/>
      <c r="D791" s="7"/>
      <c r="E791" s="7"/>
      <c r="F791" s="7"/>
    </row>
    <row r="792" ht="16.5" customHeight="1">
      <c r="A792" s="1"/>
      <c r="C792" s="3"/>
      <c r="D792" s="7"/>
      <c r="E792" s="7"/>
      <c r="F792" s="7"/>
    </row>
    <row r="793" ht="16.5" customHeight="1">
      <c r="A793" s="1"/>
      <c r="C793" s="3"/>
      <c r="D793" s="7"/>
      <c r="E793" s="7"/>
      <c r="F793" s="7"/>
    </row>
    <row r="794" ht="16.5" customHeight="1">
      <c r="A794" s="1"/>
      <c r="C794" s="3"/>
      <c r="D794" s="7"/>
      <c r="E794" s="7"/>
      <c r="F794" s="7"/>
    </row>
    <row r="795" ht="16.5" customHeight="1">
      <c r="A795" s="1"/>
      <c r="C795" s="3"/>
      <c r="D795" s="7"/>
      <c r="E795" s="7"/>
      <c r="F795" s="7"/>
    </row>
    <row r="796" ht="16.5" customHeight="1">
      <c r="A796" s="1"/>
      <c r="C796" s="3"/>
      <c r="D796" s="7"/>
      <c r="E796" s="7"/>
      <c r="F796" s="7"/>
    </row>
    <row r="797" ht="16.5" customHeight="1">
      <c r="A797" s="1"/>
      <c r="C797" s="3"/>
      <c r="D797" s="7"/>
      <c r="E797" s="7"/>
      <c r="F797" s="7"/>
    </row>
    <row r="798" ht="16.5" customHeight="1">
      <c r="A798" s="1"/>
      <c r="C798" s="3"/>
      <c r="D798" s="7"/>
      <c r="E798" s="7"/>
      <c r="F798" s="7"/>
    </row>
    <row r="799" ht="16.5" customHeight="1">
      <c r="A799" s="1"/>
      <c r="C799" s="3"/>
      <c r="D799" s="7"/>
      <c r="E799" s="7"/>
      <c r="F799" s="7"/>
    </row>
    <row r="800" ht="16.5" customHeight="1">
      <c r="A800" s="1"/>
      <c r="C800" s="3"/>
      <c r="D800" s="7"/>
      <c r="E800" s="7"/>
      <c r="F800" s="7"/>
    </row>
    <row r="801" ht="16.5" customHeight="1">
      <c r="A801" s="1"/>
      <c r="C801" s="3"/>
      <c r="D801" s="7"/>
      <c r="E801" s="7"/>
      <c r="F801" s="7"/>
    </row>
    <row r="802" ht="16.5" customHeight="1">
      <c r="A802" s="1"/>
      <c r="C802" s="3"/>
      <c r="D802" s="7"/>
      <c r="E802" s="7"/>
      <c r="F802" s="7"/>
    </row>
    <row r="803" ht="16.5" customHeight="1">
      <c r="A803" s="1"/>
      <c r="C803" s="3"/>
      <c r="D803" s="7"/>
      <c r="E803" s="7"/>
      <c r="F803" s="7"/>
    </row>
    <row r="804" ht="16.5" customHeight="1">
      <c r="A804" s="1"/>
      <c r="C804" s="3"/>
      <c r="D804" s="7"/>
      <c r="E804" s="7"/>
      <c r="F804" s="7"/>
    </row>
    <row r="805" ht="16.5" customHeight="1">
      <c r="A805" s="1"/>
      <c r="C805" s="3"/>
      <c r="D805" s="7"/>
      <c r="E805" s="7"/>
      <c r="F805" s="7"/>
    </row>
    <row r="806" ht="16.5" customHeight="1">
      <c r="A806" s="1"/>
      <c r="C806" s="3"/>
      <c r="D806" s="7"/>
      <c r="E806" s="7"/>
      <c r="F806" s="7"/>
    </row>
    <row r="807" ht="16.5" customHeight="1">
      <c r="A807" s="1"/>
      <c r="C807" s="3"/>
      <c r="D807" s="7"/>
      <c r="E807" s="7"/>
      <c r="F807" s="7"/>
    </row>
    <row r="808" ht="16.5" customHeight="1">
      <c r="A808" s="1"/>
      <c r="C808" s="3"/>
      <c r="D808" s="7"/>
      <c r="E808" s="7"/>
      <c r="F808" s="7"/>
    </row>
    <row r="809" ht="16.5" customHeight="1">
      <c r="A809" s="1"/>
      <c r="C809" s="3"/>
      <c r="D809" s="7"/>
      <c r="E809" s="7"/>
      <c r="F809" s="7"/>
    </row>
    <row r="810" ht="16.5" customHeight="1">
      <c r="A810" s="1"/>
      <c r="C810" s="3"/>
      <c r="D810" s="7"/>
      <c r="E810" s="7"/>
      <c r="F810" s="7"/>
    </row>
    <row r="811" ht="16.5" customHeight="1">
      <c r="A811" s="1"/>
      <c r="C811" s="3"/>
      <c r="D811" s="7"/>
      <c r="E811" s="7"/>
      <c r="F811" s="7"/>
    </row>
    <row r="812" ht="16.5" customHeight="1">
      <c r="A812" s="1"/>
      <c r="C812" s="3"/>
      <c r="D812" s="7"/>
      <c r="E812" s="7"/>
      <c r="F812" s="7"/>
    </row>
    <row r="813" ht="16.5" customHeight="1">
      <c r="A813" s="1"/>
      <c r="C813" s="3"/>
      <c r="D813" s="7"/>
      <c r="E813" s="7"/>
      <c r="F813" s="7"/>
    </row>
    <row r="814" ht="16.5" customHeight="1">
      <c r="A814" s="1"/>
      <c r="C814" s="3"/>
      <c r="D814" s="7"/>
      <c r="E814" s="7"/>
      <c r="F814" s="7"/>
    </row>
    <row r="815" ht="16.5" customHeight="1">
      <c r="A815" s="1"/>
      <c r="C815" s="3"/>
      <c r="D815" s="7"/>
      <c r="E815" s="7"/>
      <c r="F815" s="7"/>
    </row>
    <row r="816" ht="16.5" customHeight="1">
      <c r="A816" s="1"/>
      <c r="C816" s="3"/>
      <c r="D816" s="7"/>
      <c r="E816" s="7"/>
      <c r="F816" s="7"/>
    </row>
    <row r="817" ht="16.5" customHeight="1">
      <c r="A817" s="1"/>
      <c r="C817" s="3"/>
      <c r="D817" s="7"/>
      <c r="E817" s="7"/>
      <c r="F817" s="7"/>
    </row>
    <row r="818" ht="16.5" customHeight="1">
      <c r="A818" s="1"/>
      <c r="C818" s="3"/>
      <c r="D818" s="7"/>
      <c r="E818" s="7"/>
      <c r="F818" s="7"/>
    </row>
    <row r="819" ht="16.5" customHeight="1">
      <c r="A819" s="1"/>
      <c r="C819" s="3"/>
      <c r="D819" s="7"/>
      <c r="E819" s="7"/>
      <c r="F819" s="7"/>
    </row>
    <row r="820" ht="16.5" customHeight="1">
      <c r="A820" s="1"/>
      <c r="C820" s="3"/>
      <c r="D820" s="7"/>
      <c r="E820" s="7"/>
      <c r="F820" s="7"/>
    </row>
    <row r="821" ht="16.5" customHeight="1">
      <c r="A821" s="1"/>
      <c r="C821" s="3"/>
      <c r="D821" s="7"/>
      <c r="E821" s="7"/>
      <c r="F821" s="7"/>
    </row>
    <row r="822" ht="16.5" customHeight="1">
      <c r="A822" s="1"/>
      <c r="C822" s="3"/>
      <c r="D822" s="7"/>
      <c r="E822" s="7"/>
      <c r="F822" s="7"/>
    </row>
    <row r="823" ht="16.5" customHeight="1">
      <c r="A823" s="1"/>
      <c r="C823" s="3"/>
      <c r="D823" s="7"/>
      <c r="E823" s="7"/>
      <c r="F823" s="7"/>
    </row>
    <row r="824" ht="16.5" customHeight="1">
      <c r="A824" s="1"/>
      <c r="C824" s="3"/>
      <c r="D824" s="7"/>
      <c r="E824" s="7"/>
      <c r="F824" s="7"/>
    </row>
    <row r="825" ht="16.5" customHeight="1">
      <c r="A825" s="1"/>
      <c r="C825" s="3"/>
      <c r="D825" s="7"/>
      <c r="E825" s="7"/>
      <c r="F825" s="7"/>
    </row>
    <row r="826" ht="16.5" customHeight="1">
      <c r="A826" s="1"/>
      <c r="C826" s="3"/>
      <c r="D826" s="7"/>
      <c r="E826" s="7"/>
      <c r="F826" s="7"/>
    </row>
    <row r="827" ht="16.5" customHeight="1">
      <c r="A827" s="1"/>
      <c r="C827" s="3"/>
      <c r="D827" s="7"/>
      <c r="E827" s="7"/>
      <c r="F827" s="7"/>
    </row>
    <row r="828" ht="16.5" customHeight="1">
      <c r="A828" s="1"/>
      <c r="C828" s="3"/>
      <c r="D828" s="7"/>
      <c r="E828" s="7"/>
      <c r="F828" s="7"/>
    </row>
    <row r="829" ht="16.5" customHeight="1">
      <c r="A829" s="1"/>
      <c r="C829" s="3"/>
      <c r="D829" s="7"/>
      <c r="E829" s="7"/>
      <c r="F829" s="7"/>
    </row>
    <row r="830" ht="16.5" customHeight="1">
      <c r="A830" s="1"/>
      <c r="C830" s="3"/>
      <c r="D830" s="7"/>
      <c r="E830" s="7"/>
      <c r="F830" s="7"/>
    </row>
    <row r="831" ht="16.5" customHeight="1">
      <c r="A831" s="1"/>
      <c r="C831" s="3"/>
      <c r="D831" s="7"/>
      <c r="E831" s="7"/>
      <c r="F831" s="7"/>
    </row>
    <row r="832" ht="16.5" customHeight="1">
      <c r="A832" s="1"/>
      <c r="C832" s="3"/>
      <c r="D832" s="7"/>
      <c r="E832" s="7"/>
      <c r="F832" s="7"/>
    </row>
    <row r="833" ht="16.5" customHeight="1">
      <c r="A833" s="1"/>
      <c r="C833" s="3"/>
      <c r="D833" s="7"/>
      <c r="E833" s="7"/>
      <c r="F833" s="7"/>
    </row>
    <row r="834" ht="16.5" customHeight="1">
      <c r="A834" s="1"/>
      <c r="C834" s="3"/>
      <c r="D834" s="7"/>
      <c r="E834" s="7"/>
      <c r="F834" s="7"/>
    </row>
    <row r="835" ht="16.5" customHeight="1">
      <c r="A835" s="1"/>
      <c r="C835" s="3"/>
      <c r="D835" s="7"/>
      <c r="E835" s="7"/>
      <c r="F835" s="7"/>
    </row>
    <row r="836" ht="16.5" customHeight="1">
      <c r="A836" s="1"/>
      <c r="C836" s="3"/>
      <c r="D836" s="7"/>
      <c r="E836" s="7"/>
      <c r="F836" s="7"/>
    </row>
    <row r="837" ht="16.5" customHeight="1">
      <c r="A837" s="1"/>
      <c r="C837" s="3"/>
      <c r="D837" s="7"/>
      <c r="E837" s="7"/>
      <c r="F837" s="7"/>
    </row>
    <row r="838" ht="16.5" customHeight="1">
      <c r="A838" s="1"/>
      <c r="C838" s="3"/>
      <c r="D838" s="7"/>
      <c r="E838" s="7"/>
      <c r="F838" s="7"/>
    </row>
    <row r="839" ht="16.5" customHeight="1">
      <c r="A839" s="1"/>
      <c r="C839" s="3"/>
      <c r="D839" s="7"/>
      <c r="E839" s="7"/>
      <c r="F839" s="7"/>
    </row>
    <row r="840" ht="16.5" customHeight="1">
      <c r="A840" s="1"/>
      <c r="C840" s="3"/>
      <c r="D840" s="7"/>
      <c r="E840" s="7"/>
      <c r="F840" s="7"/>
    </row>
    <row r="841" ht="16.5" customHeight="1">
      <c r="A841" s="1"/>
      <c r="C841" s="3"/>
      <c r="D841" s="7"/>
      <c r="E841" s="7"/>
      <c r="F841" s="7"/>
    </row>
    <row r="842" ht="16.5" customHeight="1">
      <c r="A842" s="1"/>
      <c r="C842" s="3"/>
      <c r="D842" s="7"/>
      <c r="E842" s="7"/>
      <c r="F842" s="7"/>
    </row>
    <row r="843" ht="16.5" customHeight="1">
      <c r="A843" s="1"/>
      <c r="C843" s="3"/>
      <c r="D843" s="7"/>
      <c r="E843" s="7"/>
      <c r="F843" s="7"/>
    </row>
    <row r="844" ht="16.5" customHeight="1">
      <c r="A844" s="1"/>
      <c r="C844" s="3"/>
      <c r="D844" s="7"/>
      <c r="E844" s="7"/>
      <c r="F844" s="7"/>
    </row>
    <row r="845" ht="16.5" customHeight="1">
      <c r="A845" s="1"/>
      <c r="C845" s="3"/>
      <c r="D845" s="7"/>
      <c r="E845" s="7"/>
      <c r="F845" s="7"/>
    </row>
    <row r="846" ht="16.5" customHeight="1">
      <c r="A846" s="1"/>
      <c r="C846" s="3"/>
      <c r="D846" s="7"/>
      <c r="E846" s="7"/>
      <c r="F846" s="7"/>
    </row>
    <row r="847" ht="16.5" customHeight="1">
      <c r="A847" s="1"/>
      <c r="C847" s="3"/>
      <c r="D847" s="7"/>
      <c r="E847" s="7"/>
      <c r="F847" s="7"/>
    </row>
    <row r="848" ht="16.5" customHeight="1">
      <c r="A848" s="1"/>
      <c r="C848" s="3"/>
      <c r="D848" s="7"/>
      <c r="E848" s="7"/>
      <c r="F848" s="7"/>
    </row>
    <row r="849" ht="16.5" customHeight="1">
      <c r="A849" s="1"/>
      <c r="C849" s="3"/>
      <c r="D849" s="7"/>
      <c r="E849" s="7"/>
      <c r="F849" s="7"/>
    </row>
    <row r="850" ht="16.5" customHeight="1">
      <c r="A850" s="1"/>
      <c r="C850" s="3"/>
      <c r="D850" s="7"/>
      <c r="E850" s="7"/>
      <c r="F850" s="7"/>
    </row>
    <row r="851" ht="16.5" customHeight="1">
      <c r="A851" s="1"/>
      <c r="C851" s="3"/>
      <c r="D851" s="7"/>
      <c r="E851" s="7"/>
      <c r="F851" s="7"/>
    </row>
    <row r="852" ht="16.5" customHeight="1">
      <c r="A852" s="1"/>
      <c r="C852" s="3"/>
      <c r="D852" s="7"/>
      <c r="E852" s="7"/>
      <c r="F852" s="7"/>
    </row>
    <row r="853" ht="16.5" customHeight="1">
      <c r="A853" s="1"/>
      <c r="C853" s="3"/>
      <c r="D853" s="7"/>
      <c r="E853" s="7"/>
      <c r="F853" s="7"/>
    </row>
    <row r="854" ht="16.5" customHeight="1">
      <c r="A854" s="1"/>
      <c r="C854" s="3"/>
      <c r="D854" s="7"/>
      <c r="E854" s="7"/>
      <c r="F854" s="7"/>
    </row>
    <row r="855" ht="16.5" customHeight="1">
      <c r="A855" s="1"/>
      <c r="C855" s="3"/>
      <c r="D855" s="7"/>
      <c r="E855" s="7"/>
      <c r="F855" s="7"/>
    </row>
    <row r="856" ht="16.5" customHeight="1">
      <c r="A856" s="1"/>
      <c r="C856" s="3"/>
      <c r="D856" s="7"/>
      <c r="E856" s="7"/>
      <c r="F856" s="7"/>
    </row>
    <row r="857" ht="16.5" customHeight="1">
      <c r="A857" s="1"/>
      <c r="C857" s="3"/>
      <c r="D857" s="7"/>
      <c r="E857" s="7"/>
      <c r="F857" s="7"/>
    </row>
    <row r="858" ht="16.5" customHeight="1">
      <c r="A858" s="1"/>
      <c r="C858" s="3"/>
      <c r="D858" s="7"/>
      <c r="E858" s="7"/>
      <c r="F858" s="7"/>
    </row>
    <row r="859" ht="16.5" customHeight="1">
      <c r="A859" s="1"/>
      <c r="C859" s="3"/>
      <c r="D859" s="7"/>
      <c r="E859" s="7"/>
      <c r="F859" s="7"/>
    </row>
    <row r="860" ht="16.5" customHeight="1">
      <c r="A860" s="1"/>
      <c r="C860" s="3"/>
      <c r="D860" s="7"/>
      <c r="E860" s="7"/>
      <c r="F860" s="7"/>
    </row>
    <row r="861" ht="16.5" customHeight="1">
      <c r="A861" s="1"/>
      <c r="C861" s="3"/>
      <c r="D861" s="7"/>
      <c r="E861" s="7"/>
      <c r="F861" s="7"/>
    </row>
    <row r="862" ht="16.5" customHeight="1">
      <c r="A862" s="1"/>
      <c r="C862" s="3"/>
      <c r="D862" s="7"/>
      <c r="E862" s="7"/>
      <c r="F862" s="7"/>
    </row>
    <row r="863" ht="16.5" customHeight="1">
      <c r="A863" s="1"/>
      <c r="C863" s="3"/>
      <c r="D863" s="7"/>
      <c r="E863" s="7"/>
      <c r="F863" s="7"/>
    </row>
    <row r="864" ht="16.5" customHeight="1">
      <c r="A864" s="1"/>
      <c r="C864" s="3"/>
      <c r="D864" s="7"/>
      <c r="E864" s="7"/>
      <c r="F864" s="7"/>
    </row>
    <row r="865" ht="16.5" customHeight="1">
      <c r="A865" s="1"/>
      <c r="C865" s="3"/>
      <c r="D865" s="7"/>
      <c r="E865" s="7"/>
      <c r="F865" s="7"/>
    </row>
    <row r="866" ht="16.5" customHeight="1">
      <c r="A866" s="1"/>
      <c r="C866" s="3"/>
      <c r="D866" s="7"/>
      <c r="E866" s="7"/>
      <c r="F866" s="7"/>
    </row>
    <row r="867" ht="16.5" customHeight="1">
      <c r="A867" s="1"/>
      <c r="C867" s="3"/>
      <c r="D867" s="7"/>
      <c r="E867" s="7"/>
      <c r="F867" s="7"/>
    </row>
    <row r="868" ht="16.5" customHeight="1">
      <c r="A868" s="1"/>
      <c r="C868" s="3"/>
      <c r="D868" s="7"/>
      <c r="E868" s="7"/>
      <c r="F868" s="7"/>
    </row>
    <row r="869" ht="16.5" customHeight="1">
      <c r="A869" s="1"/>
      <c r="C869" s="3"/>
      <c r="D869" s="7"/>
      <c r="E869" s="7"/>
      <c r="F869" s="7"/>
    </row>
    <row r="870" ht="16.5" customHeight="1">
      <c r="A870" s="1"/>
      <c r="C870" s="3"/>
      <c r="D870" s="7"/>
      <c r="E870" s="7"/>
      <c r="F870" s="7"/>
    </row>
    <row r="871" ht="16.5" customHeight="1">
      <c r="A871" s="1"/>
      <c r="C871" s="3"/>
      <c r="D871" s="7"/>
      <c r="E871" s="7"/>
      <c r="F871" s="7"/>
    </row>
    <row r="872" ht="16.5" customHeight="1">
      <c r="A872" s="1"/>
      <c r="C872" s="3"/>
      <c r="D872" s="7"/>
      <c r="E872" s="7"/>
      <c r="F872" s="7"/>
    </row>
    <row r="873" ht="16.5" customHeight="1">
      <c r="A873" s="1"/>
      <c r="C873" s="3"/>
      <c r="D873" s="7"/>
      <c r="E873" s="7"/>
      <c r="F873" s="7"/>
    </row>
    <row r="874" ht="16.5" customHeight="1">
      <c r="A874" s="1"/>
      <c r="C874" s="3"/>
      <c r="D874" s="7"/>
      <c r="E874" s="7"/>
      <c r="F874" s="7"/>
    </row>
    <row r="875" ht="16.5" customHeight="1">
      <c r="A875" s="1"/>
      <c r="C875" s="3"/>
      <c r="D875" s="7"/>
      <c r="E875" s="7"/>
      <c r="F875" s="7"/>
    </row>
    <row r="876" ht="16.5" customHeight="1">
      <c r="A876" s="1"/>
      <c r="C876" s="3"/>
      <c r="D876" s="7"/>
      <c r="E876" s="7"/>
      <c r="F876" s="7"/>
    </row>
    <row r="877" ht="16.5" customHeight="1">
      <c r="A877" s="1"/>
      <c r="C877" s="3"/>
      <c r="D877" s="7"/>
      <c r="E877" s="7"/>
      <c r="F877" s="7"/>
    </row>
    <row r="878" ht="16.5" customHeight="1">
      <c r="A878" s="1"/>
      <c r="C878" s="3"/>
      <c r="D878" s="7"/>
      <c r="E878" s="7"/>
      <c r="F878" s="7"/>
    </row>
    <row r="879" ht="16.5" customHeight="1">
      <c r="A879" s="1"/>
      <c r="C879" s="3"/>
      <c r="D879" s="7"/>
      <c r="E879" s="7"/>
      <c r="F879" s="7"/>
    </row>
    <row r="880" ht="16.5" customHeight="1">
      <c r="A880" s="1"/>
      <c r="C880" s="3"/>
      <c r="D880" s="7"/>
      <c r="E880" s="7"/>
      <c r="F880" s="7"/>
    </row>
    <row r="881" ht="16.5" customHeight="1">
      <c r="A881" s="1"/>
      <c r="C881" s="3"/>
      <c r="D881" s="7"/>
      <c r="E881" s="7"/>
      <c r="F881" s="7"/>
    </row>
    <row r="882" ht="16.5" customHeight="1">
      <c r="A882" s="1"/>
      <c r="C882" s="3"/>
      <c r="D882" s="7"/>
      <c r="E882" s="7"/>
      <c r="F882" s="7"/>
    </row>
    <row r="883" ht="16.5" customHeight="1">
      <c r="A883" s="1"/>
      <c r="C883" s="3"/>
      <c r="D883" s="7"/>
      <c r="E883" s="7"/>
      <c r="F883" s="7"/>
    </row>
    <row r="884" ht="16.5" customHeight="1">
      <c r="A884" s="1"/>
      <c r="C884" s="3"/>
      <c r="D884" s="7"/>
      <c r="E884" s="7"/>
      <c r="F884" s="7"/>
    </row>
    <row r="885" ht="16.5" customHeight="1">
      <c r="A885" s="1"/>
      <c r="C885" s="3"/>
      <c r="D885" s="7"/>
      <c r="E885" s="7"/>
      <c r="F885" s="7"/>
    </row>
    <row r="886" ht="16.5" customHeight="1">
      <c r="A886" s="1"/>
      <c r="C886" s="3"/>
      <c r="D886" s="7"/>
      <c r="E886" s="7"/>
      <c r="F886" s="7"/>
    </row>
    <row r="887" ht="16.5" customHeight="1">
      <c r="A887" s="1"/>
      <c r="C887" s="3"/>
      <c r="D887" s="7"/>
      <c r="E887" s="7"/>
      <c r="F887" s="7"/>
    </row>
    <row r="888" ht="16.5" customHeight="1">
      <c r="A888" s="1"/>
      <c r="C888" s="3"/>
      <c r="D888" s="7"/>
      <c r="E888" s="7"/>
      <c r="F888" s="7"/>
    </row>
    <row r="889" ht="16.5" customHeight="1">
      <c r="A889" s="1"/>
      <c r="C889" s="3"/>
      <c r="D889" s="7"/>
      <c r="E889" s="7"/>
      <c r="F889" s="7"/>
    </row>
    <row r="890" ht="16.5" customHeight="1">
      <c r="A890" s="1"/>
      <c r="C890" s="3"/>
      <c r="D890" s="7"/>
      <c r="E890" s="7"/>
      <c r="F890" s="7"/>
    </row>
    <row r="891" ht="16.5" customHeight="1">
      <c r="A891" s="1"/>
      <c r="C891" s="3"/>
      <c r="D891" s="7"/>
      <c r="E891" s="7"/>
      <c r="F891" s="7"/>
    </row>
    <row r="892" ht="16.5" customHeight="1">
      <c r="A892" s="1"/>
      <c r="C892" s="3"/>
      <c r="D892" s="7"/>
      <c r="E892" s="7"/>
      <c r="F892" s="7"/>
    </row>
    <row r="893" ht="16.5" customHeight="1">
      <c r="A893" s="1"/>
      <c r="C893" s="3"/>
      <c r="D893" s="7"/>
      <c r="E893" s="7"/>
      <c r="F893" s="7"/>
    </row>
    <row r="894" ht="16.5" customHeight="1">
      <c r="A894" s="1"/>
      <c r="C894" s="3"/>
      <c r="D894" s="7"/>
      <c r="E894" s="7"/>
      <c r="F894" s="7"/>
    </row>
    <row r="895" ht="16.5" customHeight="1">
      <c r="A895" s="1"/>
      <c r="C895" s="3"/>
      <c r="D895" s="7"/>
      <c r="E895" s="7"/>
      <c r="F895" s="7"/>
    </row>
    <row r="896" ht="16.5" customHeight="1">
      <c r="A896" s="1"/>
      <c r="C896" s="3"/>
      <c r="D896" s="7"/>
      <c r="E896" s="7"/>
      <c r="F896" s="7"/>
    </row>
    <row r="897" ht="16.5" customHeight="1">
      <c r="A897" s="1"/>
      <c r="C897" s="3"/>
      <c r="D897" s="7"/>
      <c r="E897" s="7"/>
      <c r="F897" s="7"/>
    </row>
    <row r="898" ht="16.5" customHeight="1">
      <c r="A898" s="1"/>
      <c r="C898" s="3"/>
      <c r="D898" s="7"/>
      <c r="E898" s="7"/>
      <c r="F898" s="7"/>
    </row>
    <row r="899" ht="16.5" customHeight="1">
      <c r="A899" s="1"/>
      <c r="C899" s="3"/>
      <c r="D899" s="7"/>
      <c r="E899" s="7"/>
      <c r="F899" s="7"/>
    </row>
    <row r="900" ht="16.5" customHeight="1">
      <c r="A900" s="1"/>
      <c r="C900" s="3"/>
      <c r="D900" s="7"/>
      <c r="E900" s="7"/>
      <c r="F900" s="7"/>
    </row>
    <row r="901" ht="16.5" customHeight="1">
      <c r="A901" s="1"/>
      <c r="C901" s="3"/>
      <c r="D901" s="7"/>
      <c r="E901" s="7"/>
      <c r="F901" s="7"/>
    </row>
    <row r="902" ht="16.5" customHeight="1">
      <c r="A902" s="1"/>
      <c r="C902" s="3"/>
      <c r="D902" s="7"/>
      <c r="E902" s="7"/>
      <c r="F902" s="7"/>
    </row>
    <row r="903" ht="16.5" customHeight="1">
      <c r="A903" s="1"/>
      <c r="C903" s="3"/>
      <c r="D903" s="7"/>
      <c r="E903" s="7"/>
      <c r="F903" s="7"/>
    </row>
    <row r="904" ht="16.5" customHeight="1">
      <c r="A904" s="1"/>
      <c r="C904" s="3"/>
      <c r="D904" s="7"/>
      <c r="E904" s="7"/>
      <c r="F904" s="7"/>
    </row>
    <row r="905" ht="16.5" customHeight="1">
      <c r="A905" s="1"/>
      <c r="C905" s="3"/>
      <c r="D905" s="7"/>
      <c r="E905" s="7"/>
      <c r="F905" s="7"/>
    </row>
    <row r="906" ht="16.5" customHeight="1">
      <c r="A906" s="1"/>
      <c r="C906" s="3"/>
      <c r="D906" s="7"/>
      <c r="E906" s="7"/>
      <c r="F906" s="7"/>
    </row>
    <row r="907" ht="16.5" customHeight="1">
      <c r="A907" s="1"/>
      <c r="C907" s="3"/>
      <c r="D907" s="7"/>
      <c r="E907" s="7"/>
      <c r="F907" s="7"/>
    </row>
    <row r="908" ht="16.5" customHeight="1">
      <c r="A908" s="1"/>
      <c r="C908" s="3"/>
      <c r="D908" s="7"/>
      <c r="E908" s="7"/>
      <c r="F908" s="7"/>
    </row>
    <row r="909" ht="16.5" customHeight="1">
      <c r="A909" s="1"/>
      <c r="C909" s="3"/>
      <c r="D909" s="7"/>
      <c r="E909" s="7"/>
      <c r="F909" s="7"/>
    </row>
    <row r="910" ht="16.5" customHeight="1">
      <c r="A910" s="1"/>
      <c r="C910" s="3"/>
      <c r="D910" s="7"/>
      <c r="E910" s="7"/>
      <c r="F910" s="7"/>
    </row>
    <row r="911" ht="16.5" customHeight="1">
      <c r="A911" s="1"/>
      <c r="C911" s="3"/>
      <c r="D911" s="7"/>
      <c r="E911" s="7"/>
      <c r="F911" s="7"/>
    </row>
    <row r="912" ht="16.5" customHeight="1">
      <c r="A912" s="1"/>
      <c r="C912" s="3"/>
      <c r="D912" s="7"/>
      <c r="E912" s="7"/>
      <c r="F912" s="7"/>
    </row>
    <row r="913" ht="16.5" customHeight="1">
      <c r="A913" s="1"/>
      <c r="C913" s="3"/>
      <c r="D913" s="7"/>
      <c r="E913" s="7"/>
      <c r="F913" s="7"/>
    </row>
    <row r="914" ht="16.5" customHeight="1">
      <c r="A914" s="1"/>
      <c r="C914" s="3"/>
      <c r="D914" s="7"/>
      <c r="E914" s="7"/>
      <c r="F914" s="7"/>
    </row>
    <row r="915" ht="16.5" customHeight="1">
      <c r="A915" s="1"/>
      <c r="C915" s="3"/>
      <c r="D915" s="7"/>
      <c r="E915" s="7"/>
      <c r="F915" s="7"/>
    </row>
    <row r="916" ht="16.5" customHeight="1">
      <c r="A916" s="1"/>
      <c r="C916" s="3"/>
      <c r="D916" s="7"/>
      <c r="E916" s="7"/>
      <c r="F916" s="7"/>
    </row>
    <row r="917" ht="16.5" customHeight="1">
      <c r="A917" s="1"/>
      <c r="C917" s="3"/>
      <c r="D917" s="7"/>
      <c r="E917" s="7"/>
      <c r="F917" s="7"/>
    </row>
    <row r="918" ht="16.5" customHeight="1">
      <c r="A918" s="1"/>
      <c r="C918" s="3"/>
      <c r="D918" s="7"/>
      <c r="E918" s="7"/>
      <c r="F918" s="7"/>
    </row>
    <row r="919" ht="16.5" customHeight="1">
      <c r="A919" s="1"/>
      <c r="C919" s="3"/>
      <c r="D919" s="7"/>
      <c r="E919" s="7"/>
      <c r="F919" s="7"/>
    </row>
    <row r="920" ht="16.5" customHeight="1">
      <c r="A920" s="1"/>
      <c r="C920" s="3"/>
      <c r="D920" s="7"/>
      <c r="E920" s="7"/>
      <c r="F920" s="7"/>
    </row>
    <row r="921" ht="16.5" customHeight="1">
      <c r="A921" s="1"/>
      <c r="C921" s="3"/>
      <c r="D921" s="7"/>
      <c r="E921" s="7"/>
      <c r="F921" s="7"/>
    </row>
    <row r="922" ht="16.5" customHeight="1">
      <c r="A922" s="1"/>
      <c r="C922" s="3"/>
      <c r="D922" s="7"/>
      <c r="E922" s="7"/>
      <c r="F922" s="7"/>
    </row>
    <row r="923" ht="16.5" customHeight="1">
      <c r="A923" s="1"/>
      <c r="C923" s="3"/>
      <c r="D923" s="7"/>
      <c r="E923" s="7"/>
      <c r="F923" s="7"/>
    </row>
    <row r="924" ht="16.5" customHeight="1">
      <c r="A924" s="1"/>
      <c r="C924" s="3"/>
      <c r="D924" s="7"/>
      <c r="E924" s="7"/>
      <c r="F924" s="7"/>
    </row>
    <row r="925" ht="16.5" customHeight="1">
      <c r="A925" s="1"/>
      <c r="C925" s="3"/>
      <c r="D925" s="7"/>
      <c r="E925" s="7"/>
      <c r="F925" s="7"/>
    </row>
    <row r="926" ht="16.5" customHeight="1">
      <c r="A926" s="1"/>
      <c r="C926" s="3"/>
      <c r="D926" s="7"/>
      <c r="E926" s="7"/>
      <c r="F926" s="7"/>
    </row>
    <row r="927" ht="16.5" customHeight="1">
      <c r="A927" s="1"/>
      <c r="C927" s="3"/>
      <c r="D927" s="7"/>
      <c r="E927" s="7"/>
      <c r="F927" s="7"/>
    </row>
    <row r="928" ht="16.5" customHeight="1">
      <c r="A928" s="1"/>
      <c r="C928" s="3"/>
      <c r="D928" s="7"/>
      <c r="E928" s="7"/>
      <c r="F928" s="7"/>
    </row>
    <row r="929" ht="16.5" customHeight="1">
      <c r="A929" s="1"/>
      <c r="C929" s="3"/>
      <c r="D929" s="7"/>
      <c r="E929" s="7"/>
      <c r="F929" s="7"/>
    </row>
    <row r="930" ht="16.5" customHeight="1">
      <c r="A930" s="1"/>
      <c r="C930" s="3"/>
      <c r="D930" s="7"/>
      <c r="E930" s="7"/>
      <c r="F930" s="7"/>
    </row>
    <row r="931" ht="16.5" customHeight="1">
      <c r="A931" s="1"/>
      <c r="C931" s="3"/>
      <c r="D931" s="7"/>
      <c r="E931" s="7"/>
      <c r="F931" s="7"/>
    </row>
    <row r="932" ht="16.5" customHeight="1">
      <c r="A932" s="1"/>
      <c r="C932" s="3"/>
      <c r="D932" s="7"/>
      <c r="E932" s="7"/>
      <c r="F932" s="7"/>
    </row>
    <row r="933" ht="16.5" customHeight="1">
      <c r="A933" s="1"/>
      <c r="C933" s="3"/>
      <c r="D933" s="7"/>
      <c r="E933" s="7"/>
      <c r="F933" s="7"/>
    </row>
    <row r="934" ht="16.5" customHeight="1">
      <c r="A934" s="1"/>
      <c r="C934" s="3"/>
      <c r="D934" s="7"/>
      <c r="E934" s="7"/>
      <c r="F934" s="7"/>
    </row>
    <row r="935" ht="16.5" customHeight="1">
      <c r="A935" s="1"/>
      <c r="C935" s="3"/>
      <c r="D935" s="7"/>
      <c r="E935" s="7"/>
      <c r="F935" s="7"/>
    </row>
    <row r="936" ht="16.5" customHeight="1">
      <c r="A936" s="1"/>
      <c r="C936" s="3"/>
      <c r="D936" s="7"/>
      <c r="E936" s="7"/>
      <c r="F936" s="7"/>
    </row>
    <row r="937" ht="16.5" customHeight="1">
      <c r="A937" s="1"/>
      <c r="C937" s="3"/>
      <c r="D937" s="7"/>
      <c r="E937" s="7"/>
      <c r="F937" s="7"/>
    </row>
    <row r="938" ht="16.5" customHeight="1">
      <c r="A938" s="1"/>
      <c r="C938" s="3"/>
      <c r="D938" s="7"/>
      <c r="E938" s="7"/>
      <c r="F938" s="7"/>
    </row>
    <row r="939" ht="16.5" customHeight="1">
      <c r="A939" s="1"/>
      <c r="C939" s="3"/>
      <c r="D939" s="7"/>
      <c r="E939" s="7"/>
      <c r="F939" s="7"/>
    </row>
    <row r="940" ht="16.5" customHeight="1">
      <c r="A940" s="1"/>
      <c r="C940" s="3"/>
      <c r="D940" s="7"/>
      <c r="E940" s="7"/>
      <c r="F940" s="7"/>
    </row>
    <row r="941" ht="16.5" customHeight="1">
      <c r="A941" s="1"/>
      <c r="C941" s="3"/>
      <c r="D941" s="7"/>
      <c r="E941" s="7"/>
      <c r="F941" s="7"/>
    </row>
    <row r="942" ht="16.5" customHeight="1">
      <c r="A942" s="1"/>
      <c r="C942" s="3"/>
      <c r="D942" s="7"/>
      <c r="E942" s="7"/>
      <c r="F942" s="7"/>
    </row>
    <row r="943" ht="16.5" customHeight="1">
      <c r="A943" s="1"/>
      <c r="C943" s="3"/>
      <c r="D943" s="7"/>
      <c r="E943" s="7"/>
      <c r="F943" s="7"/>
    </row>
    <row r="944" ht="16.5" customHeight="1">
      <c r="A944" s="1"/>
      <c r="C944" s="3"/>
      <c r="D944" s="7"/>
      <c r="E944" s="7"/>
      <c r="F944" s="7"/>
    </row>
    <row r="945" ht="16.5" customHeight="1">
      <c r="A945" s="1"/>
      <c r="C945" s="3"/>
      <c r="D945" s="7"/>
      <c r="E945" s="7"/>
      <c r="F945" s="7"/>
    </row>
    <row r="946" ht="16.5" customHeight="1">
      <c r="A946" s="1"/>
      <c r="C946" s="3"/>
      <c r="D946" s="7"/>
      <c r="E946" s="7"/>
      <c r="F946" s="7"/>
    </row>
    <row r="947" ht="16.5" customHeight="1">
      <c r="A947" s="1"/>
      <c r="C947" s="3"/>
      <c r="D947" s="7"/>
      <c r="E947" s="7"/>
      <c r="F947" s="7"/>
    </row>
    <row r="948" ht="16.5" customHeight="1">
      <c r="A948" s="1"/>
      <c r="C948" s="3"/>
      <c r="D948" s="7"/>
      <c r="E948" s="7"/>
      <c r="F948" s="7"/>
    </row>
    <row r="949" ht="16.5" customHeight="1">
      <c r="A949" s="1"/>
      <c r="C949" s="3"/>
      <c r="D949" s="7"/>
      <c r="E949" s="7"/>
      <c r="F949" s="7"/>
    </row>
    <row r="950" ht="16.5" customHeight="1">
      <c r="A950" s="1"/>
      <c r="C950" s="3"/>
      <c r="D950" s="7"/>
      <c r="E950" s="7"/>
      <c r="F950" s="7"/>
    </row>
    <row r="951" ht="16.5" customHeight="1">
      <c r="A951" s="1"/>
      <c r="C951" s="3"/>
      <c r="D951" s="7"/>
      <c r="E951" s="7"/>
      <c r="F951" s="7"/>
    </row>
    <row r="952" ht="16.5" customHeight="1">
      <c r="A952" s="1"/>
      <c r="C952" s="3"/>
      <c r="D952" s="7"/>
      <c r="E952" s="7"/>
      <c r="F952" s="7"/>
    </row>
    <row r="953" ht="16.5" customHeight="1">
      <c r="A953" s="1"/>
      <c r="C953" s="3"/>
      <c r="D953" s="7"/>
      <c r="E953" s="7"/>
      <c r="F953" s="7"/>
    </row>
    <row r="954" ht="16.5" customHeight="1">
      <c r="A954" s="1"/>
      <c r="C954" s="3"/>
      <c r="D954" s="7"/>
      <c r="E954" s="7"/>
      <c r="F954" s="7"/>
    </row>
    <row r="955" ht="16.5" customHeight="1">
      <c r="A955" s="1"/>
      <c r="C955" s="3"/>
      <c r="D955" s="7"/>
      <c r="E955" s="7"/>
      <c r="F955" s="7"/>
    </row>
    <row r="956" ht="16.5" customHeight="1">
      <c r="A956" s="1"/>
      <c r="C956" s="3"/>
      <c r="D956" s="7"/>
      <c r="E956" s="7"/>
      <c r="F956" s="7"/>
    </row>
    <row r="957" ht="16.5" customHeight="1">
      <c r="A957" s="1"/>
      <c r="C957" s="3"/>
      <c r="D957" s="7"/>
      <c r="E957" s="7"/>
      <c r="F957" s="7"/>
    </row>
    <row r="958" ht="16.5" customHeight="1">
      <c r="A958" s="1"/>
      <c r="C958" s="3"/>
      <c r="D958" s="7"/>
      <c r="E958" s="7"/>
      <c r="F958" s="7"/>
    </row>
    <row r="959" ht="16.5" customHeight="1">
      <c r="A959" s="1"/>
      <c r="C959" s="3"/>
      <c r="D959" s="7"/>
      <c r="E959" s="7"/>
      <c r="F959" s="7"/>
    </row>
    <row r="960" ht="16.5" customHeight="1">
      <c r="A960" s="1"/>
      <c r="C960" s="3"/>
      <c r="D960" s="7"/>
      <c r="E960" s="7"/>
      <c r="F960" s="7"/>
    </row>
    <row r="961" ht="16.5" customHeight="1">
      <c r="A961" s="1"/>
      <c r="C961" s="3"/>
      <c r="D961" s="7"/>
      <c r="E961" s="7"/>
      <c r="F961" s="7"/>
    </row>
    <row r="962" ht="16.5" customHeight="1">
      <c r="A962" s="1"/>
      <c r="C962" s="3"/>
      <c r="D962" s="7"/>
      <c r="E962" s="7"/>
      <c r="F962" s="7"/>
    </row>
    <row r="963" ht="16.5" customHeight="1">
      <c r="A963" s="1"/>
      <c r="C963" s="3"/>
      <c r="D963" s="7"/>
      <c r="E963" s="7"/>
      <c r="F963" s="7"/>
    </row>
    <row r="964" ht="16.5" customHeight="1">
      <c r="A964" s="1"/>
      <c r="C964" s="3"/>
      <c r="D964" s="7"/>
      <c r="E964" s="7"/>
      <c r="F964" s="7"/>
    </row>
    <row r="965" ht="16.5" customHeight="1">
      <c r="A965" s="1"/>
      <c r="C965" s="3"/>
      <c r="D965" s="7"/>
      <c r="E965" s="7"/>
      <c r="F965" s="7"/>
    </row>
    <row r="966" ht="16.5" customHeight="1">
      <c r="A966" s="1"/>
      <c r="C966" s="3"/>
      <c r="D966" s="7"/>
      <c r="E966" s="7"/>
      <c r="F966" s="7"/>
    </row>
    <row r="967" ht="16.5" customHeight="1">
      <c r="A967" s="1"/>
      <c r="C967" s="3"/>
      <c r="D967" s="7"/>
      <c r="E967" s="7"/>
      <c r="F967" s="7"/>
    </row>
    <row r="968" ht="16.5" customHeight="1">
      <c r="A968" s="1"/>
      <c r="C968" s="3"/>
      <c r="D968" s="7"/>
      <c r="E968" s="7"/>
      <c r="F968" s="7"/>
    </row>
    <row r="969" ht="16.5" customHeight="1">
      <c r="A969" s="1"/>
      <c r="C969" s="3"/>
      <c r="D969" s="7"/>
      <c r="E969" s="7"/>
      <c r="F969" s="7"/>
    </row>
    <row r="970" ht="16.5" customHeight="1">
      <c r="A970" s="1"/>
      <c r="C970" s="3"/>
      <c r="D970" s="7"/>
      <c r="E970" s="7"/>
      <c r="F970" s="7"/>
    </row>
    <row r="971" ht="16.5" customHeight="1">
      <c r="A971" s="1"/>
      <c r="C971" s="3"/>
      <c r="D971" s="7"/>
      <c r="E971" s="7"/>
      <c r="F971" s="7"/>
    </row>
    <row r="972" ht="16.5" customHeight="1">
      <c r="A972" s="1"/>
      <c r="C972" s="3"/>
      <c r="D972" s="7"/>
      <c r="E972" s="7"/>
      <c r="F972" s="7"/>
    </row>
    <row r="973" ht="16.5" customHeight="1">
      <c r="A973" s="1"/>
      <c r="C973" s="3"/>
      <c r="D973" s="7"/>
      <c r="E973" s="7"/>
      <c r="F973" s="7"/>
    </row>
    <row r="974" ht="16.5" customHeight="1">
      <c r="A974" s="1"/>
      <c r="C974" s="3"/>
      <c r="D974" s="7"/>
      <c r="E974" s="7"/>
      <c r="F974" s="7"/>
    </row>
    <row r="975" ht="16.5" customHeight="1">
      <c r="A975" s="1"/>
      <c r="C975" s="3"/>
      <c r="D975" s="7"/>
      <c r="E975" s="7"/>
      <c r="F975" s="7"/>
    </row>
    <row r="976" ht="16.5" customHeight="1">
      <c r="A976" s="1"/>
      <c r="C976" s="3"/>
      <c r="D976" s="7"/>
      <c r="E976" s="7"/>
      <c r="F976" s="7"/>
    </row>
    <row r="977" ht="16.5" customHeight="1">
      <c r="A977" s="1"/>
      <c r="C977" s="3"/>
      <c r="D977" s="7"/>
      <c r="E977" s="7"/>
      <c r="F977" s="7"/>
    </row>
    <row r="978" ht="16.5" customHeight="1">
      <c r="A978" s="1"/>
      <c r="C978" s="3"/>
      <c r="D978" s="7"/>
      <c r="E978" s="7"/>
      <c r="F978" s="7"/>
    </row>
    <row r="979" ht="16.5" customHeight="1">
      <c r="A979" s="1"/>
      <c r="C979" s="3"/>
      <c r="D979" s="7"/>
      <c r="E979" s="7"/>
      <c r="F979" s="7"/>
    </row>
    <row r="980" ht="16.5" customHeight="1">
      <c r="A980" s="1"/>
      <c r="C980" s="3"/>
      <c r="D980" s="7"/>
      <c r="E980" s="7"/>
      <c r="F980" s="7"/>
    </row>
    <row r="981" ht="16.5" customHeight="1">
      <c r="A981" s="1"/>
      <c r="C981" s="3"/>
      <c r="D981" s="7"/>
      <c r="E981" s="7"/>
      <c r="F981" s="7"/>
    </row>
    <row r="982" ht="16.5" customHeight="1">
      <c r="A982" s="1"/>
      <c r="C982" s="3"/>
      <c r="D982" s="7"/>
      <c r="E982" s="7"/>
      <c r="F982" s="7"/>
    </row>
    <row r="983" ht="16.5" customHeight="1">
      <c r="A983" s="1"/>
      <c r="C983" s="3"/>
      <c r="D983" s="7"/>
      <c r="E983" s="7"/>
      <c r="F983" s="7"/>
    </row>
    <row r="984" ht="16.5" customHeight="1">
      <c r="A984" s="1"/>
      <c r="C984" s="3"/>
      <c r="D984" s="7"/>
      <c r="E984" s="7"/>
      <c r="F984" s="7"/>
    </row>
    <row r="985" ht="16.5" customHeight="1">
      <c r="A985" s="1"/>
      <c r="C985" s="3"/>
      <c r="D985" s="7"/>
      <c r="E985" s="7"/>
      <c r="F985" s="7"/>
    </row>
    <row r="986" ht="16.5" customHeight="1">
      <c r="A986" s="1"/>
      <c r="C986" s="3"/>
      <c r="D986" s="7"/>
      <c r="E986" s="7"/>
      <c r="F986" s="7"/>
    </row>
    <row r="987" ht="16.5" customHeight="1">
      <c r="A987" s="1"/>
      <c r="C987" s="3"/>
      <c r="D987" s="7"/>
      <c r="E987" s="7"/>
      <c r="F987" s="7"/>
    </row>
    <row r="988" ht="16.5" customHeight="1">
      <c r="A988" s="1"/>
      <c r="C988" s="3"/>
      <c r="D988" s="7"/>
      <c r="E988" s="7"/>
      <c r="F988" s="7"/>
    </row>
    <row r="989" ht="16.5" customHeight="1">
      <c r="A989" s="1"/>
      <c r="C989" s="3"/>
      <c r="D989" s="7"/>
      <c r="E989" s="7"/>
      <c r="F989" s="7"/>
    </row>
    <row r="990" ht="16.5" customHeight="1">
      <c r="A990" s="1"/>
      <c r="C990" s="3"/>
      <c r="D990" s="7"/>
      <c r="E990" s="7"/>
      <c r="F990" s="7"/>
    </row>
    <row r="991" ht="16.5" customHeight="1">
      <c r="A991" s="1"/>
      <c r="C991" s="3"/>
      <c r="D991" s="7"/>
      <c r="E991" s="7"/>
      <c r="F991" s="7"/>
    </row>
    <row r="992" ht="16.5" customHeight="1">
      <c r="A992" s="1"/>
      <c r="C992" s="3"/>
      <c r="D992" s="7"/>
      <c r="E992" s="7"/>
      <c r="F992" s="7"/>
    </row>
    <row r="993" ht="16.5" customHeight="1">
      <c r="A993" s="1"/>
      <c r="C993" s="3"/>
      <c r="D993" s="7"/>
      <c r="E993" s="7"/>
      <c r="F993" s="7"/>
    </row>
    <row r="994" ht="16.5" customHeight="1">
      <c r="A994" s="1"/>
      <c r="C994" s="3"/>
      <c r="D994" s="7"/>
      <c r="E994" s="7"/>
      <c r="F994" s="7"/>
    </row>
    <row r="995" ht="16.5" customHeight="1">
      <c r="A995" s="1"/>
      <c r="C995" s="3"/>
      <c r="D995" s="7"/>
      <c r="E995" s="7"/>
      <c r="F995" s="7"/>
    </row>
    <row r="996" ht="16.5" customHeight="1">
      <c r="A996" s="1"/>
      <c r="C996" s="3"/>
      <c r="D996" s="7"/>
      <c r="E996" s="7"/>
      <c r="F996" s="7"/>
    </row>
    <row r="997" ht="16.5" customHeight="1">
      <c r="A997" s="1"/>
      <c r="C997" s="3"/>
      <c r="D997" s="7"/>
      <c r="E997" s="7"/>
      <c r="F997" s="7"/>
    </row>
    <row r="998" ht="16.5" customHeight="1">
      <c r="A998" s="1"/>
      <c r="C998" s="3"/>
      <c r="D998" s="7"/>
      <c r="E998" s="7"/>
      <c r="F998" s="7"/>
    </row>
    <row r="999" ht="16.5" customHeight="1">
      <c r="A999" s="1"/>
      <c r="C999" s="3"/>
      <c r="D999" s="7"/>
      <c r="E999" s="7"/>
      <c r="F999" s="7"/>
    </row>
    <row r="1000" ht="16.5" customHeight="1">
      <c r="A1000" s="1"/>
      <c r="C1000" s="3"/>
      <c r="D1000" s="7"/>
      <c r="E1000" s="7"/>
      <c r="F1000" s="7"/>
    </row>
    <row r="1001" ht="16.5" customHeight="1">
      <c r="A1001" s="1"/>
      <c r="C1001" s="3"/>
      <c r="D1001" s="7"/>
      <c r="E1001" s="7"/>
      <c r="F1001" s="7"/>
    </row>
    <row r="1002" ht="16.5" customHeight="1">
      <c r="A1002" s="1"/>
      <c r="C1002" s="3"/>
      <c r="D1002" s="7"/>
      <c r="E1002" s="7"/>
      <c r="F1002" s="7"/>
    </row>
    <row r="1003" ht="16.5" customHeight="1">
      <c r="A1003" s="1"/>
      <c r="C1003" s="3"/>
      <c r="D1003" s="7"/>
      <c r="E1003" s="7"/>
      <c r="F1003" s="7"/>
    </row>
    <row r="1004" ht="16.5" customHeight="1">
      <c r="A1004" s="1"/>
      <c r="C1004" s="3"/>
      <c r="D1004" s="7"/>
      <c r="E1004" s="7"/>
      <c r="F1004" s="7"/>
    </row>
    <row r="1005" ht="16.5" customHeight="1">
      <c r="A1005" s="1"/>
      <c r="C1005" s="3"/>
      <c r="D1005" s="7"/>
      <c r="E1005" s="7"/>
      <c r="F1005" s="7"/>
    </row>
    <row r="1006" ht="16.5" customHeight="1">
      <c r="A1006" s="1"/>
      <c r="C1006" s="3"/>
      <c r="D1006" s="7"/>
      <c r="E1006" s="7"/>
      <c r="F1006" s="7"/>
    </row>
    <row r="1007" ht="16.5" customHeight="1">
      <c r="A1007" s="1"/>
      <c r="C1007" s="3"/>
      <c r="D1007" s="7"/>
      <c r="E1007" s="7"/>
      <c r="F1007" s="7"/>
    </row>
    <row r="1008" ht="16.5" customHeight="1">
      <c r="A1008" s="1"/>
      <c r="C1008" s="3"/>
      <c r="D1008" s="7"/>
      <c r="E1008" s="7"/>
      <c r="F1008" s="7"/>
    </row>
    <row r="1009" ht="16.5" customHeight="1">
      <c r="A1009" s="1"/>
      <c r="C1009" s="3"/>
      <c r="D1009" s="7"/>
      <c r="E1009" s="7"/>
      <c r="F1009" s="7"/>
    </row>
    <row r="1010" ht="16.5" customHeight="1">
      <c r="A1010" s="1"/>
      <c r="C1010" s="3"/>
      <c r="D1010" s="7"/>
      <c r="E1010" s="7"/>
      <c r="F1010" s="7"/>
    </row>
    <row r="1011" ht="16.5" customHeight="1">
      <c r="A1011" s="1"/>
      <c r="C1011" s="3"/>
      <c r="D1011" s="7"/>
      <c r="E1011" s="7"/>
      <c r="F1011" s="7"/>
    </row>
    <row r="1012" ht="16.5" customHeight="1">
      <c r="A1012" s="1"/>
      <c r="C1012" s="3"/>
      <c r="D1012" s="7"/>
      <c r="E1012" s="7"/>
      <c r="F1012" s="7"/>
    </row>
    <row r="1013" ht="16.5" customHeight="1">
      <c r="A1013" s="1"/>
      <c r="C1013" s="3"/>
      <c r="D1013" s="7"/>
      <c r="E1013" s="7"/>
      <c r="F1013" s="7"/>
    </row>
    <row r="1014" ht="16.5" customHeight="1">
      <c r="A1014" s="1"/>
      <c r="C1014" s="3"/>
      <c r="D1014" s="7"/>
      <c r="E1014" s="7"/>
      <c r="F1014" s="7"/>
    </row>
    <row r="1015" ht="16.5" customHeight="1">
      <c r="A1015" s="1"/>
      <c r="C1015" s="3"/>
      <c r="D1015" s="7"/>
      <c r="E1015" s="7"/>
      <c r="F1015" s="7"/>
    </row>
    <row r="1016" ht="16.5" customHeight="1">
      <c r="A1016" s="1"/>
      <c r="C1016" s="3"/>
      <c r="D1016" s="7"/>
      <c r="E1016" s="7"/>
      <c r="F1016" s="7"/>
    </row>
    <row r="1017" ht="16.5" customHeight="1">
      <c r="A1017" s="1"/>
      <c r="C1017" s="3"/>
      <c r="D1017" s="7"/>
      <c r="E1017" s="7"/>
      <c r="F1017" s="7"/>
    </row>
    <row r="1018" ht="16.5" customHeight="1">
      <c r="A1018" s="1"/>
      <c r="C1018" s="3"/>
      <c r="D1018" s="7"/>
      <c r="E1018" s="7"/>
      <c r="F1018" s="7"/>
    </row>
    <row r="1019" ht="16.5" customHeight="1">
      <c r="A1019" s="1"/>
      <c r="C1019" s="3"/>
      <c r="D1019" s="7"/>
      <c r="E1019" s="7"/>
      <c r="F1019" s="7"/>
    </row>
    <row r="1020" ht="16.5" customHeight="1">
      <c r="A1020" s="1"/>
      <c r="C1020" s="3"/>
      <c r="D1020" s="7"/>
      <c r="E1020" s="7"/>
      <c r="F1020" s="7"/>
    </row>
    <row r="1021" ht="16.5" customHeight="1">
      <c r="A1021" s="1"/>
      <c r="C1021" s="3"/>
      <c r="D1021" s="7"/>
      <c r="E1021" s="7"/>
      <c r="F1021" s="7"/>
    </row>
    <row r="1022" ht="16.5" customHeight="1">
      <c r="A1022" s="1"/>
      <c r="C1022" s="3"/>
      <c r="D1022" s="7"/>
      <c r="E1022" s="7"/>
      <c r="F1022" s="7"/>
    </row>
    <row r="1023" ht="16.5" customHeight="1">
      <c r="A1023" s="1"/>
      <c r="C1023" s="3"/>
      <c r="D1023" s="7"/>
      <c r="E1023" s="7"/>
      <c r="F1023" s="7"/>
    </row>
    <row r="1024" ht="16.5" customHeight="1">
      <c r="A1024" s="1"/>
      <c r="C1024" s="3"/>
      <c r="D1024" s="7"/>
      <c r="E1024" s="7"/>
      <c r="F1024" s="7"/>
    </row>
    <row r="1025" ht="16.5" customHeight="1">
      <c r="A1025" s="1"/>
      <c r="C1025" s="3"/>
      <c r="D1025" s="7"/>
      <c r="E1025" s="7"/>
      <c r="F1025" s="7"/>
    </row>
    <row r="1026" ht="16.5" customHeight="1">
      <c r="A1026" s="1"/>
      <c r="C1026" s="3"/>
      <c r="D1026" s="7"/>
      <c r="E1026" s="7"/>
      <c r="F1026" s="7"/>
    </row>
    <row r="1027" ht="16.5" customHeight="1">
      <c r="A1027" s="1"/>
      <c r="C1027" s="3"/>
      <c r="D1027" s="7"/>
      <c r="E1027" s="7"/>
      <c r="F1027" s="7"/>
    </row>
    <row r="1028" ht="16.5" customHeight="1">
      <c r="A1028" s="1"/>
      <c r="C1028" s="3"/>
      <c r="D1028" s="7"/>
      <c r="E1028" s="7"/>
      <c r="F1028" s="7"/>
    </row>
    <row r="1029" ht="16.5" customHeight="1">
      <c r="A1029" s="1"/>
      <c r="C1029" s="3"/>
      <c r="D1029" s="7"/>
      <c r="E1029" s="7"/>
      <c r="F1029" s="7"/>
    </row>
    <row r="1030" ht="16.5" customHeight="1">
      <c r="A1030" s="1"/>
      <c r="C1030" s="3"/>
      <c r="D1030" s="7"/>
      <c r="E1030" s="7"/>
      <c r="F1030" s="7"/>
    </row>
    <row r="1031" ht="16.5" customHeight="1">
      <c r="A1031" s="1"/>
      <c r="C1031" s="3"/>
      <c r="D1031" s="7"/>
      <c r="E1031" s="7"/>
      <c r="F1031" s="7"/>
    </row>
    <row r="1032" ht="16.5" customHeight="1">
      <c r="A1032" s="1"/>
      <c r="C1032" s="3"/>
      <c r="D1032" s="7"/>
      <c r="E1032" s="7"/>
      <c r="F1032" s="7"/>
    </row>
    <row r="1033" ht="16.5" customHeight="1">
      <c r="A1033" s="1"/>
      <c r="C1033" s="3"/>
      <c r="D1033" s="7"/>
      <c r="E1033" s="7"/>
      <c r="F1033" s="7"/>
    </row>
    <row r="1034" ht="16.5" customHeight="1">
      <c r="A1034" s="1"/>
      <c r="C1034" s="3"/>
      <c r="D1034" s="7"/>
      <c r="E1034" s="7"/>
      <c r="F1034" s="7"/>
    </row>
    <row r="1035" ht="16.5" customHeight="1">
      <c r="A1035" s="1"/>
      <c r="C1035" s="3"/>
      <c r="D1035" s="7"/>
      <c r="E1035" s="7"/>
      <c r="F1035" s="7"/>
    </row>
    <row r="1036" ht="16.5" customHeight="1">
      <c r="A1036" s="1"/>
      <c r="C1036" s="3"/>
      <c r="D1036" s="7"/>
      <c r="E1036" s="7"/>
      <c r="F1036" s="7"/>
    </row>
    <row r="1037" ht="16.5" customHeight="1">
      <c r="A1037" s="1"/>
      <c r="C1037" s="3"/>
      <c r="D1037" s="7"/>
      <c r="E1037" s="7"/>
      <c r="F1037" s="7"/>
    </row>
    <row r="1038" ht="16.5" customHeight="1">
      <c r="A1038" s="1"/>
      <c r="C1038" s="3"/>
      <c r="D1038" s="7"/>
      <c r="E1038" s="7"/>
      <c r="F1038" s="7"/>
    </row>
    <row r="1039" ht="16.5" customHeight="1">
      <c r="A1039" s="1"/>
      <c r="C1039" s="3"/>
      <c r="D1039" s="7"/>
      <c r="E1039" s="7"/>
      <c r="F1039" s="7"/>
    </row>
    <row r="1040" ht="16.5" customHeight="1">
      <c r="A1040" s="1"/>
      <c r="C1040" s="3"/>
      <c r="D1040" s="7"/>
      <c r="E1040" s="7"/>
      <c r="F1040" s="7"/>
    </row>
    <row r="1041" ht="16.5" customHeight="1">
      <c r="A1041" s="1"/>
      <c r="C1041" s="3"/>
      <c r="D1041" s="7"/>
      <c r="E1041" s="7"/>
      <c r="F1041" s="7"/>
    </row>
    <row r="1042" ht="16.5" customHeight="1">
      <c r="A1042" s="1"/>
      <c r="C1042" s="3"/>
      <c r="D1042" s="7"/>
      <c r="E1042" s="7"/>
      <c r="F1042" s="7"/>
    </row>
    <row r="1043" ht="16.5" customHeight="1">
      <c r="A1043" s="1"/>
      <c r="C1043" s="3"/>
      <c r="D1043" s="7"/>
      <c r="E1043" s="7"/>
      <c r="F1043" s="7"/>
    </row>
    <row r="1044" ht="16.5" customHeight="1">
      <c r="A1044" s="1"/>
      <c r="C1044" s="3"/>
      <c r="D1044" s="7"/>
      <c r="E1044" s="7"/>
      <c r="F1044" s="7"/>
    </row>
    <row r="1045" ht="16.5" customHeight="1">
      <c r="A1045" s="1"/>
      <c r="C1045" s="3"/>
      <c r="D1045" s="7"/>
      <c r="E1045" s="7"/>
      <c r="F1045" s="7"/>
    </row>
    <row r="1046" ht="16.5" customHeight="1">
      <c r="A1046" s="1"/>
      <c r="C1046" s="3"/>
      <c r="D1046" s="7"/>
      <c r="E1046" s="7"/>
      <c r="F1046" s="7"/>
    </row>
    <row r="1047" ht="16.5" customHeight="1">
      <c r="A1047" s="1"/>
      <c r="C1047" s="3"/>
      <c r="D1047" s="7"/>
      <c r="E1047" s="7"/>
      <c r="F1047" s="7"/>
    </row>
    <row r="1048" ht="16.5" customHeight="1">
      <c r="A1048" s="1"/>
      <c r="C1048" s="3"/>
      <c r="D1048" s="7"/>
      <c r="E1048" s="7"/>
      <c r="F1048" s="7"/>
    </row>
    <row r="1049" ht="16.5" customHeight="1">
      <c r="A1049" s="1"/>
      <c r="C1049" s="3"/>
      <c r="D1049" s="7"/>
      <c r="E1049" s="7"/>
      <c r="F1049" s="7"/>
    </row>
    <row r="1050" ht="16.5" customHeight="1">
      <c r="A1050" s="1"/>
      <c r="C1050" s="3"/>
      <c r="D1050" s="7"/>
      <c r="E1050" s="7"/>
      <c r="F1050" s="7"/>
    </row>
    <row r="1051" ht="16.5" customHeight="1">
      <c r="A1051" s="1"/>
      <c r="C1051" s="3"/>
      <c r="D1051" s="7"/>
      <c r="E1051" s="7"/>
      <c r="F1051" s="7"/>
    </row>
    <row r="1052" ht="16.5" customHeight="1">
      <c r="A1052" s="1"/>
      <c r="C1052" s="3"/>
      <c r="D1052" s="7"/>
      <c r="E1052" s="7"/>
      <c r="F1052" s="7"/>
    </row>
    <row r="1053" ht="16.5" customHeight="1">
      <c r="A1053" s="1"/>
      <c r="C1053" s="3"/>
      <c r="D1053" s="7"/>
      <c r="E1053" s="7"/>
      <c r="F1053" s="7"/>
    </row>
    <row r="1054" ht="16.5" customHeight="1">
      <c r="A1054" s="1"/>
      <c r="C1054" s="3"/>
      <c r="D1054" s="7"/>
      <c r="E1054" s="7"/>
      <c r="F1054" s="7"/>
    </row>
    <row r="1055" ht="16.5" customHeight="1">
      <c r="A1055" s="1"/>
      <c r="C1055" s="3"/>
      <c r="D1055" s="7"/>
      <c r="E1055" s="7"/>
      <c r="F1055" s="7"/>
    </row>
    <row r="1056" ht="16.5" customHeight="1">
      <c r="A1056" s="1"/>
      <c r="C1056" s="3"/>
      <c r="D1056" s="7"/>
      <c r="E1056" s="7"/>
      <c r="F1056" s="7"/>
    </row>
    <row r="1057" ht="16.5" customHeight="1">
      <c r="A1057" s="1"/>
      <c r="C1057" s="3"/>
      <c r="D1057" s="7"/>
      <c r="E1057" s="7"/>
      <c r="F1057" s="7"/>
    </row>
    <row r="1058" ht="16.5" customHeight="1">
      <c r="A1058" s="1"/>
      <c r="C1058" s="3"/>
      <c r="D1058" s="7"/>
      <c r="E1058" s="7"/>
      <c r="F1058" s="7"/>
    </row>
    <row r="1059" ht="16.5" customHeight="1">
      <c r="A1059" s="1"/>
      <c r="C1059" s="3"/>
      <c r="D1059" s="7"/>
      <c r="E1059" s="7"/>
      <c r="F1059" s="7"/>
    </row>
    <row r="1060" ht="16.5" customHeight="1">
      <c r="A1060" s="1"/>
      <c r="C1060" s="3"/>
      <c r="D1060" s="7"/>
      <c r="E1060" s="7"/>
      <c r="F1060" s="7"/>
    </row>
    <row r="1061" ht="16.5" customHeight="1">
      <c r="A1061" s="1"/>
      <c r="C1061" s="3"/>
      <c r="D1061" s="7"/>
      <c r="E1061" s="7"/>
      <c r="F1061" s="7"/>
    </row>
    <row r="1062" ht="16.5" customHeight="1">
      <c r="A1062" s="1"/>
      <c r="C1062" s="3"/>
      <c r="D1062" s="7"/>
      <c r="E1062" s="7"/>
      <c r="F1062" s="7"/>
    </row>
    <row r="1063" ht="16.5" customHeight="1">
      <c r="A1063" s="1"/>
      <c r="C1063" s="3"/>
      <c r="D1063" s="7"/>
      <c r="E1063" s="7"/>
      <c r="F1063" s="7"/>
    </row>
    <row r="1064" ht="16.5" customHeight="1">
      <c r="A1064" s="1"/>
      <c r="C1064" s="3"/>
      <c r="D1064" s="7"/>
      <c r="E1064" s="7"/>
      <c r="F1064" s="7"/>
    </row>
    <row r="1065" ht="16.5" customHeight="1">
      <c r="A1065" s="1"/>
      <c r="C1065" s="3"/>
      <c r="D1065" s="7"/>
      <c r="E1065" s="7"/>
      <c r="F1065" s="7"/>
    </row>
    <row r="1066" ht="16.5" customHeight="1">
      <c r="A1066" s="1"/>
      <c r="C1066" s="3"/>
      <c r="D1066" s="7"/>
      <c r="E1066" s="7"/>
      <c r="F1066" s="7"/>
    </row>
    <row r="1067" ht="16.5" customHeight="1">
      <c r="A1067" s="1"/>
      <c r="C1067" s="3"/>
      <c r="D1067" s="7"/>
      <c r="E1067" s="7"/>
      <c r="F1067" s="7"/>
    </row>
    <row r="1068" ht="16.5" customHeight="1">
      <c r="A1068" s="1"/>
      <c r="C1068" s="3"/>
      <c r="D1068" s="7"/>
      <c r="E1068" s="7"/>
      <c r="F1068" s="7"/>
    </row>
    <row r="1069" ht="16.5" customHeight="1">
      <c r="A1069" s="1"/>
      <c r="C1069" s="3"/>
      <c r="D1069" s="7"/>
      <c r="E1069" s="7"/>
      <c r="F1069" s="7"/>
    </row>
    <row r="1070" ht="16.5" customHeight="1">
      <c r="A1070" s="1"/>
      <c r="C1070" s="3"/>
      <c r="D1070" s="7"/>
      <c r="E1070" s="7"/>
      <c r="F1070" s="7"/>
    </row>
    <row r="1071" ht="16.5" customHeight="1">
      <c r="A1071" s="1"/>
      <c r="C1071" s="3"/>
      <c r="D1071" s="7"/>
      <c r="E1071" s="7"/>
      <c r="F1071" s="7"/>
    </row>
    <row r="1072" ht="16.5" customHeight="1">
      <c r="A1072" s="1"/>
      <c r="C1072" s="3"/>
      <c r="D1072" s="7"/>
      <c r="E1072" s="7"/>
      <c r="F1072" s="7"/>
    </row>
    <row r="1073" ht="16.5" customHeight="1">
      <c r="A1073" s="1"/>
      <c r="C1073" s="3"/>
      <c r="D1073" s="7"/>
      <c r="E1073" s="7"/>
      <c r="F1073" s="7"/>
    </row>
    <row r="1074" ht="16.5" customHeight="1">
      <c r="A1074" s="1"/>
      <c r="C1074" s="3"/>
      <c r="D1074" s="7"/>
      <c r="E1074" s="7"/>
      <c r="F1074" s="7"/>
    </row>
    <row r="1075" ht="16.5" customHeight="1">
      <c r="A1075" s="1"/>
      <c r="C1075" s="3"/>
      <c r="D1075" s="7"/>
      <c r="E1075" s="7"/>
      <c r="F1075" s="7"/>
    </row>
    <row r="1076" ht="16.5" customHeight="1">
      <c r="A1076" s="1"/>
      <c r="C1076" s="3"/>
      <c r="D1076" s="7"/>
      <c r="E1076" s="7"/>
      <c r="F1076" s="7"/>
    </row>
    <row r="1077" ht="16.5" customHeight="1">
      <c r="A1077" s="1"/>
      <c r="C1077" s="3"/>
      <c r="D1077" s="7"/>
      <c r="E1077" s="7"/>
      <c r="F1077" s="7"/>
    </row>
    <row r="1078" ht="16.5" customHeight="1">
      <c r="A1078" s="1"/>
      <c r="C1078" s="3"/>
      <c r="D1078" s="7"/>
      <c r="E1078" s="7"/>
      <c r="F1078" s="7"/>
    </row>
    <row r="1079" ht="16.5" customHeight="1">
      <c r="A1079" s="1"/>
      <c r="C1079" s="3"/>
      <c r="D1079" s="7"/>
      <c r="E1079" s="7"/>
      <c r="F1079" s="7"/>
    </row>
    <row r="1080" ht="16.5" customHeight="1">
      <c r="A1080" s="1"/>
      <c r="C1080" s="3"/>
      <c r="D1080" s="7"/>
      <c r="E1080" s="7"/>
      <c r="F1080" s="7"/>
    </row>
    <row r="1081" ht="16.5" customHeight="1">
      <c r="A1081" s="1"/>
      <c r="C1081" s="3"/>
      <c r="D1081" s="7"/>
      <c r="E1081" s="7"/>
      <c r="F1081" s="7"/>
    </row>
    <row r="1082" ht="16.5" customHeight="1">
      <c r="A1082" s="1"/>
      <c r="C1082" s="3"/>
      <c r="D1082" s="7"/>
      <c r="E1082" s="7"/>
      <c r="F1082" s="7"/>
    </row>
    <row r="1083" ht="16.5" customHeight="1">
      <c r="A1083" s="1"/>
      <c r="C1083" s="3"/>
      <c r="D1083" s="7"/>
      <c r="E1083" s="7"/>
      <c r="F1083" s="7"/>
    </row>
    <row r="1084" ht="16.5" customHeight="1">
      <c r="A1084" s="1"/>
      <c r="C1084" s="3"/>
      <c r="D1084" s="7"/>
      <c r="E1084" s="7"/>
      <c r="F1084" s="7"/>
    </row>
    <row r="1085" ht="16.5" customHeight="1">
      <c r="A1085" s="1"/>
      <c r="C1085" s="3"/>
      <c r="D1085" s="7"/>
      <c r="E1085" s="7"/>
      <c r="F1085" s="7"/>
    </row>
    <row r="1086" ht="16.5" customHeight="1">
      <c r="A1086" s="1"/>
      <c r="C1086" s="3"/>
      <c r="D1086" s="7"/>
      <c r="E1086" s="7"/>
      <c r="F1086" s="7"/>
    </row>
    <row r="1087" ht="16.5" customHeight="1">
      <c r="A1087" s="1"/>
      <c r="C1087" s="3"/>
      <c r="D1087" s="7"/>
      <c r="E1087" s="7"/>
      <c r="F1087" s="7"/>
    </row>
    <row r="1088" ht="16.5" customHeight="1">
      <c r="A1088" s="1"/>
      <c r="C1088" s="3"/>
      <c r="D1088" s="7"/>
      <c r="E1088" s="7"/>
      <c r="F1088" s="7"/>
    </row>
    <row r="1089" ht="16.5" customHeight="1">
      <c r="A1089" s="1"/>
      <c r="C1089" s="3"/>
      <c r="D1089" s="7"/>
      <c r="E1089" s="7"/>
      <c r="F1089" s="7"/>
    </row>
    <row r="1090" ht="16.5" customHeight="1">
      <c r="A1090" s="1"/>
      <c r="C1090" s="3"/>
      <c r="D1090" s="7"/>
      <c r="E1090" s="7"/>
      <c r="F1090" s="7"/>
    </row>
    <row r="1091" ht="16.5" customHeight="1">
      <c r="A1091" s="1"/>
      <c r="C1091" s="3"/>
      <c r="D1091" s="7"/>
      <c r="E1091" s="7"/>
      <c r="F1091" s="7"/>
    </row>
    <row r="1092" ht="16.5" customHeight="1">
      <c r="A1092" s="1"/>
      <c r="C1092" s="3"/>
      <c r="D1092" s="7"/>
      <c r="E1092" s="7"/>
      <c r="F1092" s="7"/>
    </row>
    <row r="1093" ht="16.5" customHeight="1">
      <c r="A1093" s="1"/>
      <c r="C1093" s="3"/>
      <c r="D1093" s="7"/>
      <c r="E1093" s="7"/>
      <c r="F1093" s="7"/>
    </row>
    <row r="1094" ht="16.5" customHeight="1">
      <c r="A1094" s="1"/>
      <c r="C1094" s="3"/>
      <c r="D1094" s="7"/>
      <c r="E1094" s="7"/>
      <c r="F1094" s="7"/>
    </row>
    <row r="1095" ht="16.5" customHeight="1">
      <c r="A1095" s="1"/>
      <c r="C1095" s="3"/>
      <c r="D1095" s="7"/>
      <c r="E1095" s="7"/>
      <c r="F1095" s="7"/>
    </row>
    <row r="1096" ht="16.5" customHeight="1">
      <c r="A1096" s="1"/>
      <c r="C1096" s="3"/>
      <c r="D1096" s="7"/>
      <c r="E1096" s="7"/>
      <c r="F1096" s="7"/>
    </row>
    <row r="1097" ht="16.5" customHeight="1">
      <c r="A1097" s="1"/>
      <c r="C1097" s="3"/>
      <c r="D1097" s="7"/>
      <c r="E1097" s="7"/>
      <c r="F1097" s="7"/>
    </row>
    <row r="1098" ht="16.5" customHeight="1">
      <c r="A1098" s="1"/>
      <c r="C1098" s="3"/>
      <c r="D1098" s="7"/>
      <c r="E1098" s="7"/>
      <c r="F1098" s="7"/>
    </row>
    <row r="1099" ht="16.5" customHeight="1">
      <c r="A1099" s="1"/>
      <c r="C1099" s="3"/>
      <c r="D1099" s="7"/>
      <c r="E1099" s="7"/>
      <c r="F1099" s="7"/>
    </row>
    <row r="1100" ht="16.5" customHeight="1">
      <c r="A1100" s="1"/>
      <c r="C1100" s="3"/>
      <c r="D1100" s="7"/>
      <c r="E1100" s="7"/>
      <c r="F1100" s="7"/>
    </row>
    <row r="1101" ht="16.5" customHeight="1">
      <c r="A1101" s="1"/>
      <c r="C1101" s="3"/>
      <c r="D1101" s="7"/>
      <c r="E1101" s="7"/>
      <c r="F1101" s="7"/>
    </row>
    <row r="1102" ht="16.5" customHeight="1">
      <c r="A1102" s="1"/>
      <c r="C1102" s="3"/>
      <c r="D1102" s="7"/>
      <c r="E1102" s="7"/>
      <c r="F1102" s="7"/>
    </row>
    <row r="1103" ht="16.5" customHeight="1">
      <c r="A1103" s="1"/>
      <c r="C1103" s="3"/>
      <c r="D1103" s="7"/>
      <c r="E1103" s="7"/>
      <c r="F1103" s="7"/>
    </row>
    <row r="1104" ht="16.5" customHeight="1">
      <c r="A1104" s="1"/>
      <c r="C1104" s="3"/>
      <c r="D1104" s="7"/>
      <c r="E1104" s="7"/>
      <c r="F1104" s="7"/>
    </row>
    <row r="1105" ht="16.5" customHeight="1">
      <c r="A1105" s="1"/>
      <c r="C1105" s="3"/>
      <c r="D1105" s="7"/>
      <c r="E1105" s="7"/>
      <c r="F1105" s="7"/>
    </row>
    <row r="1106" ht="16.5" customHeight="1">
      <c r="A1106" s="1"/>
      <c r="C1106" s="3"/>
      <c r="D1106" s="7"/>
      <c r="E1106" s="7"/>
      <c r="F1106" s="7"/>
    </row>
    <row r="1107" ht="16.5" customHeight="1">
      <c r="A1107" s="1"/>
      <c r="C1107" s="3"/>
      <c r="D1107" s="7"/>
      <c r="E1107" s="7"/>
      <c r="F1107" s="7"/>
    </row>
    <row r="1108" ht="16.5" customHeight="1">
      <c r="A1108" s="1"/>
      <c r="C1108" s="3"/>
      <c r="D1108" s="7"/>
      <c r="E1108" s="7"/>
      <c r="F1108" s="7"/>
    </row>
    <row r="1109" ht="16.5" customHeight="1">
      <c r="A1109" s="1"/>
      <c r="C1109" s="3"/>
      <c r="D1109" s="7"/>
      <c r="E1109" s="7"/>
      <c r="F1109" s="7"/>
    </row>
    <row r="1110" ht="16.5" customHeight="1">
      <c r="A1110" s="1"/>
      <c r="C1110" s="3"/>
      <c r="D1110" s="7"/>
      <c r="E1110" s="7"/>
      <c r="F1110" s="7"/>
    </row>
    <row r="1111" ht="16.5" customHeight="1">
      <c r="A1111" s="1"/>
      <c r="C1111" s="3"/>
      <c r="D1111" s="7"/>
      <c r="E1111" s="7"/>
      <c r="F1111" s="7"/>
    </row>
    <row r="1112" ht="16.5" customHeight="1">
      <c r="A1112" s="1"/>
      <c r="C1112" s="3"/>
      <c r="D1112" s="7"/>
      <c r="E1112" s="7"/>
      <c r="F1112" s="7"/>
    </row>
    <row r="1113" ht="16.5" customHeight="1">
      <c r="A1113" s="1"/>
      <c r="C1113" s="3"/>
      <c r="D1113" s="7"/>
      <c r="E1113" s="7"/>
      <c r="F1113" s="7"/>
    </row>
    <row r="1114" ht="16.5" customHeight="1">
      <c r="A1114" s="1"/>
      <c r="C1114" s="3"/>
      <c r="D1114" s="7"/>
      <c r="E1114" s="7"/>
      <c r="F1114" s="7"/>
    </row>
    <row r="1115" ht="16.5" customHeight="1">
      <c r="A1115" s="1"/>
      <c r="C1115" s="3"/>
      <c r="D1115" s="7"/>
      <c r="E1115" s="7"/>
      <c r="F1115" s="7"/>
    </row>
    <row r="1116" ht="16.5" customHeight="1">
      <c r="A1116" s="1"/>
      <c r="C1116" s="3"/>
      <c r="D1116" s="7"/>
      <c r="E1116" s="7"/>
      <c r="F1116" s="7"/>
    </row>
    <row r="1117" ht="16.5" customHeight="1">
      <c r="A1117" s="1"/>
      <c r="C1117" s="3"/>
      <c r="D1117" s="7"/>
      <c r="E1117" s="7"/>
      <c r="F1117" s="7"/>
    </row>
    <row r="1118" ht="16.5" customHeight="1">
      <c r="A1118" s="1"/>
      <c r="C1118" s="3"/>
      <c r="D1118" s="7"/>
      <c r="E1118" s="7"/>
      <c r="F1118" s="7"/>
    </row>
    <row r="1119" ht="16.5" customHeight="1">
      <c r="A1119" s="1"/>
      <c r="C1119" s="3"/>
      <c r="D1119" s="7"/>
      <c r="E1119" s="7"/>
      <c r="F1119" s="7"/>
    </row>
    <row r="1120" ht="16.5" customHeight="1">
      <c r="A1120" s="1"/>
      <c r="C1120" s="3"/>
      <c r="D1120" s="7"/>
      <c r="E1120" s="7"/>
      <c r="F1120" s="7"/>
    </row>
    <row r="1121" ht="16.5" customHeight="1">
      <c r="A1121" s="1"/>
      <c r="C1121" s="3"/>
      <c r="D1121" s="7"/>
      <c r="E1121" s="7"/>
      <c r="F1121" s="7"/>
    </row>
    <row r="1122" ht="16.5" customHeight="1">
      <c r="A1122" s="1"/>
      <c r="C1122" s="3"/>
      <c r="D1122" s="7"/>
      <c r="E1122" s="7"/>
      <c r="F1122" s="7"/>
    </row>
    <row r="1123" ht="16.5" customHeight="1">
      <c r="A1123" s="1"/>
      <c r="C1123" s="3"/>
      <c r="D1123" s="7"/>
      <c r="E1123" s="7"/>
      <c r="F1123" s="7"/>
    </row>
    <row r="1124" ht="16.5" customHeight="1">
      <c r="A1124" s="1"/>
      <c r="C1124" s="3"/>
      <c r="D1124" s="7"/>
      <c r="E1124" s="7"/>
      <c r="F1124" s="7"/>
    </row>
    <row r="1125" ht="16.5" customHeight="1">
      <c r="A1125" s="1"/>
      <c r="C1125" s="3"/>
      <c r="D1125" s="7"/>
      <c r="E1125" s="7"/>
      <c r="F1125" s="7"/>
    </row>
    <row r="1126" ht="16.5" customHeight="1">
      <c r="A1126" s="1"/>
      <c r="C1126" s="3"/>
      <c r="D1126" s="7"/>
      <c r="E1126" s="7"/>
      <c r="F1126" s="7"/>
    </row>
    <row r="1127" ht="16.5" customHeight="1">
      <c r="A1127" s="1"/>
      <c r="C1127" s="3"/>
      <c r="D1127" s="7"/>
      <c r="E1127" s="7"/>
      <c r="F1127" s="7"/>
    </row>
    <row r="1128" ht="16.5" customHeight="1">
      <c r="A1128" s="1"/>
      <c r="C1128" s="3"/>
      <c r="D1128" s="7"/>
      <c r="E1128" s="7"/>
      <c r="F1128" s="7"/>
    </row>
    <row r="1129" ht="16.5" customHeight="1">
      <c r="A1129" s="1"/>
      <c r="C1129" s="3"/>
      <c r="D1129" s="7"/>
      <c r="E1129" s="7"/>
      <c r="F1129" s="7"/>
    </row>
    <row r="1130" ht="16.5" customHeight="1">
      <c r="A1130" s="1"/>
      <c r="C1130" s="3"/>
      <c r="D1130" s="7"/>
      <c r="E1130" s="7"/>
      <c r="F1130" s="7"/>
    </row>
    <row r="1131" ht="16.5" customHeight="1">
      <c r="A1131" s="1"/>
      <c r="C1131" s="3"/>
      <c r="D1131" s="7"/>
      <c r="E1131" s="7"/>
      <c r="F1131" s="7"/>
    </row>
    <row r="1132" ht="16.5" customHeight="1">
      <c r="A1132" s="1"/>
      <c r="C1132" s="3"/>
      <c r="D1132" s="7"/>
      <c r="E1132" s="7"/>
      <c r="F1132" s="7"/>
    </row>
    <row r="1133" ht="16.5" customHeight="1">
      <c r="A1133" s="1"/>
      <c r="C1133" s="3"/>
      <c r="D1133" s="7"/>
      <c r="E1133" s="7"/>
      <c r="F1133" s="7"/>
    </row>
    <row r="1134" ht="16.5" customHeight="1">
      <c r="A1134" s="1"/>
      <c r="C1134" s="3"/>
      <c r="D1134" s="7"/>
      <c r="E1134" s="7"/>
      <c r="F1134" s="7"/>
    </row>
    <row r="1135" ht="16.5" customHeight="1">
      <c r="A1135" s="1"/>
      <c r="C1135" s="3"/>
      <c r="D1135" s="7"/>
      <c r="E1135" s="7"/>
      <c r="F1135" s="7"/>
    </row>
    <row r="1136" ht="16.5" customHeight="1">
      <c r="A1136" s="1"/>
      <c r="C1136" s="3"/>
      <c r="D1136" s="7"/>
      <c r="E1136" s="7"/>
      <c r="F1136" s="7"/>
    </row>
    <row r="1137" ht="16.5" customHeight="1">
      <c r="A1137" s="1"/>
      <c r="C1137" s="3"/>
      <c r="D1137" s="7"/>
      <c r="E1137" s="7"/>
      <c r="F1137" s="7"/>
    </row>
    <row r="1138" ht="16.5" customHeight="1">
      <c r="A1138" s="1"/>
      <c r="C1138" s="3"/>
      <c r="D1138" s="7"/>
      <c r="E1138" s="7"/>
      <c r="F1138" s="7"/>
    </row>
    <row r="1139" ht="16.5" customHeight="1">
      <c r="A1139" s="1"/>
      <c r="C1139" s="3"/>
      <c r="D1139" s="7"/>
      <c r="E1139" s="7"/>
      <c r="F1139" s="7"/>
    </row>
    <row r="1140" ht="16.5" customHeight="1">
      <c r="A1140" s="1"/>
      <c r="C1140" s="3"/>
      <c r="D1140" s="7"/>
      <c r="E1140" s="7"/>
      <c r="F1140" s="7"/>
    </row>
    <row r="1141" ht="16.5" customHeight="1">
      <c r="A1141" s="1"/>
      <c r="C1141" s="3"/>
      <c r="D1141" s="7"/>
      <c r="E1141" s="7"/>
      <c r="F1141" s="7"/>
    </row>
    <row r="1142" ht="16.5" customHeight="1">
      <c r="A1142" s="1"/>
      <c r="C1142" s="3"/>
      <c r="D1142" s="7"/>
      <c r="E1142" s="7"/>
      <c r="F1142" s="7"/>
    </row>
    <row r="1143" ht="16.5" customHeight="1">
      <c r="A1143" s="1"/>
      <c r="C1143" s="3"/>
      <c r="D1143" s="7"/>
      <c r="E1143" s="7"/>
      <c r="F1143" s="7"/>
    </row>
    <row r="1144" ht="16.5" customHeight="1">
      <c r="A1144" s="1"/>
      <c r="C1144" s="3"/>
      <c r="D1144" s="7"/>
      <c r="E1144" s="7"/>
      <c r="F1144" s="7"/>
    </row>
    <row r="1145" ht="16.5" customHeight="1">
      <c r="A1145" s="1"/>
      <c r="C1145" s="3"/>
      <c r="D1145" s="7"/>
      <c r="E1145" s="7"/>
      <c r="F1145" s="7"/>
    </row>
    <row r="1146" ht="16.5" customHeight="1">
      <c r="A1146" s="1"/>
      <c r="C1146" s="3"/>
      <c r="D1146" s="7"/>
      <c r="E1146" s="7"/>
      <c r="F1146" s="7"/>
    </row>
    <row r="1147" ht="16.5" customHeight="1">
      <c r="A1147" s="1"/>
      <c r="C1147" s="3"/>
      <c r="D1147" s="7"/>
      <c r="E1147" s="7"/>
      <c r="F1147" s="7"/>
    </row>
    <row r="1148" ht="16.5" customHeight="1">
      <c r="A1148" s="1"/>
      <c r="C1148" s="3"/>
      <c r="D1148" s="7"/>
      <c r="E1148" s="7"/>
      <c r="F1148" s="7"/>
    </row>
    <row r="1149" ht="16.5" customHeight="1">
      <c r="A1149" s="1"/>
      <c r="C1149" s="3"/>
      <c r="D1149" s="7"/>
      <c r="E1149" s="7"/>
      <c r="F1149" s="7"/>
    </row>
    <row r="1150" ht="16.5" customHeight="1">
      <c r="A1150" s="1"/>
      <c r="C1150" s="3"/>
      <c r="D1150" s="7"/>
      <c r="E1150" s="7"/>
      <c r="F1150" s="7"/>
    </row>
    <row r="1151" ht="16.5" customHeight="1">
      <c r="A1151" s="1"/>
      <c r="C1151" s="3"/>
      <c r="D1151" s="7"/>
      <c r="E1151" s="7"/>
      <c r="F1151" s="7"/>
    </row>
    <row r="1152" ht="16.5" customHeight="1">
      <c r="A1152" s="1"/>
      <c r="C1152" s="3"/>
      <c r="D1152" s="7"/>
      <c r="E1152" s="7"/>
      <c r="F1152" s="7"/>
    </row>
    <row r="1153" ht="16.5" customHeight="1">
      <c r="A1153" s="1"/>
      <c r="C1153" s="3"/>
      <c r="D1153" s="7"/>
      <c r="E1153" s="7"/>
      <c r="F1153" s="7"/>
    </row>
    <row r="1154" ht="16.5" customHeight="1">
      <c r="A1154" s="1"/>
      <c r="C1154" s="3"/>
      <c r="D1154" s="7"/>
      <c r="E1154" s="7"/>
      <c r="F1154" s="7"/>
    </row>
    <row r="1155" ht="16.5" customHeight="1">
      <c r="A1155" s="1"/>
      <c r="C1155" s="3"/>
      <c r="D1155" s="7"/>
      <c r="E1155" s="7"/>
      <c r="F1155" s="7"/>
    </row>
    <row r="1156" ht="16.5" customHeight="1">
      <c r="A1156" s="1"/>
      <c r="C1156" s="3"/>
      <c r="D1156" s="7"/>
      <c r="E1156" s="7"/>
      <c r="F1156" s="7"/>
    </row>
    <row r="1157" ht="16.5" customHeight="1">
      <c r="A1157" s="1"/>
      <c r="C1157" s="3"/>
      <c r="D1157" s="7"/>
      <c r="E1157" s="7"/>
      <c r="F1157" s="7"/>
    </row>
    <row r="1158" ht="16.5" customHeight="1">
      <c r="A1158" s="1"/>
      <c r="C1158" s="3"/>
      <c r="D1158" s="7"/>
      <c r="E1158" s="7"/>
      <c r="F1158" s="7"/>
    </row>
    <row r="1159" ht="16.5" customHeight="1">
      <c r="A1159" s="1"/>
      <c r="C1159" s="3"/>
      <c r="D1159" s="7"/>
      <c r="E1159" s="7"/>
      <c r="F1159" s="7"/>
    </row>
    <row r="1160" ht="16.5" customHeight="1">
      <c r="A1160" s="1"/>
      <c r="C1160" s="3"/>
      <c r="D1160" s="7"/>
      <c r="E1160" s="7"/>
      <c r="F1160" s="7"/>
    </row>
    <row r="1161" ht="16.5" customHeight="1">
      <c r="A1161" s="1"/>
      <c r="C1161" s="3"/>
      <c r="D1161" s="7"/>
      <c r="E1161" s="7"/>
      <c r="F1161" s="7"/>
    </row>
    <row r="1162" ht="16.5" customHeight="1">
      <c r="A1162" s="1"/>
      <c r="C1162" s="3"/>
      <c r="D1162" s="7"/>
      <c r="E1162" s="7"/>
      <c r="F1162" s="7"/>
    </row>
    <row r="1163" ht="16.5" customHeight="1">
      <c r="A1163" s="1"/>
      <c r="C1163" s="3"/>
      <c r="D1163" s="7"/>
      <c r="E1163" s="7"/>
      <c r="F1163" s="7"/>
    </row>
    <row r="1164" ht="16.5" customHeight="1">
      <c r="A1164" s="1"/>
      <c r="C1164" s="3"/>
      <c r="D1164" s="7"/>
      <c r="E1164" s="7"/>
      <c r="F1164" s="7"/>
    </row>
    <row r="1165" ht="16.5" customHeight="1">
      <c r="A1165" s="1"/>
      <c r="C1165" s="3"/>
      <c r="D1165" s="7"/>
      <c r="E1165" s="7"/>
      <c r="F1165" s="7"/>
    </row>
    <row r="1166" ht="16.5" customHeight="1">
      <c r="A1166" s="1"/>
      <c r="C1166" s="3"/>
      <c r="D1166" s="7"/>
      <c r="E1166" s="7"/>
      <c r="F1166" s="7"/>
    </row>
    <row r="1167" ht="16.5" customHeight="1">
      <c r="A1167" s="1"/>
      <c r="C1167" s="3"/>
      <c r="D1167" s="7"/>
      <c r="E1167" s="7"/>
      <c r="F1167" s="7"/>
    </row>
    <row r="1168" ht="16.5" customHeight="1">
      <c r="A1168" s="1"/>
      <c r="C1168" s="3"/>
      <c r="D1168" s="7"/>
      <c r="E1168" s="7"/>
      <c r="F1168" s="7"/>
    </row>
    <row r="1169" ht="16.5" customHeight="1">
      <c r="A1169" s="1"/>
      <c r="C1169" s="3"/>
      <c r="D1169" s="7"/>
      <c r="E1169" s="7"/>
      <c r="F1169" s="7"/>
    </row>
    <row r="1170" ht="16.5" customHeight="1">
      <c r="A1170" s="1"/>
      <c r="C1170" s="3"/>
      <c r="D1170" s="7"/>
      <c r="E1170" s="7"/>
      <c r="F1170" s="7"/>
    </row>
    <row r="1171" ht="16.5" customHeight="1">
      <c r="A1171" s="1"/>
      <c r="C1171" s="3"/>
      <c r="D1171" s="7"/>
      <c r="E1171" s="7"/>
      <c r="F1171" s="7"/>
    </row>
    <row r="1172" ht="16.5" customHeight="1">
      <c r="A1172" s="1"/>
      <c r="C1172" s="3"/>
      <c r="D1172" s="7"/>
      <c r="E1172" s="7"/>
      <c r="F1172" s="7"/>
    </row>
    <row r="1173" ht="16.5" customHeight="1">
      <c r="A1173" s="1"/>
      <c r="C1173" s="3"/>
      <c r="D1173" s="7"/>
      <c r="E1173" s="7"/>
      <c r="F1173" s="7"/>
    </row>
    <row r="1174" ht="16.5" customHeight="1">
      <c r="A1174" s="1"/>
      <c r="C1174" s="3"/>
      <c r="D1174" s="7"/>
      <c r="E1174" s="7"/>
      <c r="F1174" s="7"/>
    </row>
    <row r="1175" ht="16.5" customHeight="1">
      <c r="A1175" s="1"/>
      <c r="C1175" s="3"/>
      <c r="D1175" s="7"/>
      <c r="E1175" s="7"/>
      <c r="F1175" s="7"/>
    </row>
    <row r="1176" ht="16.5" customHeight="1">
      <c r="A1176" s="1"/>
      <c r="C1176" s="3"/>
      <c r="D1176" s="7"/>
      <c r="E1176" s="7"/>
      <c r="F1176" s="7"/>
    </row>
    <row r="1177" ht="16.5" customHeight="1">
      <c r="A1177" s="1"/>
      <c r="C1177" s="3"/>
      <c r="D1177" s="7"/>
      <c r="E1177" s="7"/>
      <c r="F1177" s="7"/>
    </row>
    <row r="1178" ht="16.5" customHeight="1">
      <c r="A1178" s="1"/>
      <c r="C1178" s="3"/>
      <c r="D1178" s="7"/>
      <c r="E1178" s="7"/>
      <c r="F1178" s="7"/>
    </row>
    <row r="1179" ht="16.5" customHeight="1">
      <c r="A1179" s="1"/>
      <c r="C1179" s="3"/>
      <c r="D1179" s="7"/>
      <c r="E1179" s="7"/>
      <c r="F1179" s="7"/>
    </row>
    <row r="1180" ht="16.5" customHeight="1">
      <c r="A1180" s="1"/>
      <c r="C1180" s="3"/>
      <c r="D1180" s="7"/>
      <c r="E1180" s="7"/>
      <c r="F1180" s="7"/>
    </row>
    <row r="1181" ht="16.5" customHeight="1">
      <c r="A1181" s="1"/>
      <c r="C1181" s="3"/>
      <c r="D1181" s="7"/>
      <c r="E1181" s="7"/>
      <c r="F1181" s="7"/>
    </row>
    <row r="1182" ht="16.5" customHeight="1">
      <c r="A1182" s="1"/>
      <c r="C1182" s="3"/>
      <c r="D1182" s="7"/>
      <c r="E1182" s="7"/>
      <c r="F1182" s="7"/>
    </row>
    <row r="1183" ht="16.5" customHeight="1">
      <c r="A1183" s="1"/>
      <c r="C1183" s="3"/>
      <c r="D1183" s="7"/>
      <c r="E1183" s="7"/>
      <c r="F1183" s="7"/>
    </row>
    <row r="1184" ht="16.5" customHeight="1">
      <c r="A1184" s="1"/>
      <c r="C1184" s="3"/>
      <c r="D1184" s="7"/>
      <c r="E1184" s="7"/>
      <c r="F1184" s="7"/>
    </row>
    <row r="1185" ht="16.5" customHeight="1">
      <c r="A1185" s="1"/>
      <c r="C1185" s="3"/>
      <c r="D1185" s="7"/>
      <c r="E1185" s="7"/>
      <c r="F1185" s="7"/>
    </row>
    <row r="1186" ht="16.5" customHeight="1">
      <c r="A1186" s="1"/>
      <c r="C1186" s="3"/>
      <c r="D1186" s="7"/>
      <c r="E1186" s="7"/>
      <c r="F1186" s="7"/>
    </row>
    <row r="1187" ht="16.5" customHeight="1">
      <c r="A1187" s="1"/>
      <c r="C1187" s="3"/>
      <c r="D1187" s="7"/>
      <c r="E1187" s="7"/>
      <c r="F1187" s="7"/>
    </row>
    <row r="1188" ht="16.5" customHeight="1">
      <c r="A1188" s="1"/>
      <c r="C1188" s="3"/>
      <c r="D1188" s="7"/>
      <c r="E1188" s="7"/>
      <c r="F1188" s="7"/>
    </row>
    <row r="1189" ht="16.5" customHeight="1">
      <c r="A1189" s="1"/>
      <c r="C1189" s="3"/>
      <c r="D1189" s="7"/>
      <c r="E1189" s="7"/>
      <c r="F1189" s="7"/>
    </row>
    <row r="1190" ht="16.5" customHeight="1">
      <c r="A1190" s="1"/>
      <c r="C1190" s="3"/>
      <c r="D1190" s="7"/>
      <c r="E1190" s="7"/>
      <c r="F1190" s="7"/>
    </row>
    <row r="1191" ht="16.5" customHeight="1">
      <c r="A1191" s="1"/>
      <c r="C1191" s="3"/>
      <c r="D1191" s="7"/>
      <c r="E1191" s="7"/>
      <c r="F1191" s="7"/>
    </row>
    <row r="1192" ht="16.5" customHeight="1">
      <c r="A1192" s="1"/>
      <c r="C1192" s="3"/>
      <c r="D1192" s="7"/>
      <c r="E1192" s="7"/>
      <c r="F1192" s="7"/>
    </row>
    <row r="1193" ht="16.5" customHeight="1">
      <c r="A1193" s="1"/>
      <c r="C1193" s="3"/>
      <c r="D1193" s="7"/>
      <c r="E1193" s="7"/>
      <c r="F1193" s="7"/>
    </row>
    <row r="1194" ht="16.5" customHeight="1">
      <c r="A1194" s="1"/>
      <c r="C1194" s="3"/>
      <c r="D1194" s="7"/>
      <c r="E1194" s="7"/>
      <c r="F1194" s="7"/>
    </row>
    <row r="1195" ht="16.5" customHeight="1">
      <c r="A1195" s="1"/>
      <c r="C1195" s="3"/>
      <c r="D1195" s="7"/>
      <c r="E1195" s="7"/>
      <c r="F1195" s="7"/>
    </row>
    <row r="1196" ht="16.5" customHeight="1">
      <c r="A1196" s="1"/>
      <c r="C1196" s="3"/>
      <c r="D1196" s="7"/>
      <c r="E1196" s="7"/>
      <c r="F1196" s="7"/>
    </row>
    <row r="1197" ht="16.5" customHeight="1">
      <c r="A1197" s="1"/>
      <c r="C1197" s="3"/>
      <c r="D1197" s="7"/>
      <c r="E1197" s="7"/>
      <c r="F1197" s="7"/>
    </row>
    <row r="1198" ht="16.5" customHeight="1">
      <c r="A1198" s="1"/>
      <c r="C1198" s="3"/>
      <c r="D1198" s="7"/>
      <c r="E1198" s="7"/>
      <c r="F1198" s="7"/>
    </row>
    <row r="1199" ht="16.5" customHeight="1">
      <c r="A1199" s="1"/>
      <c r="C1199" s="3"/>
      <c r="D1199" s="7"/>
      <c r="E1199" s="7"/>
      <c r="F1199" s="7"/>
    </row>
    <row r="1200" ht="16.5" customHeight="1">
      <c r="A1200" s="1"/>
      <c r="C1200" s="3"/>
      <c r="D1200" s="7"/>
      <c r="E1200" s="7"/>
      <c r="F1200" s="7"/>
    </row>
    <row r="1201" ht="16.5" customHeight="1">
      <c r="A1201" s="1"/>
      <c r="C1201" s="3"/>
      <c r="D1201" s="7"/>
      <c r="E1201" s="7"/>
      <c r="F1201" s="7"/>
    </row>
    <row r="1202" ht="16.5" customHeight="1">
      <c r="A1202" s="1"/>
      <c r="C1202" s="3"/>
      <c r="D1202" s="7"/>
      <c r="E1202" s="7"/>
      <c r="F1202" s="7"/>
    </row>
    <row r="1203" ht="16.5" customHeight="1">
      <c r="A1203" s="1"/>
      <c r="C1203" s="3"/>
      <c r="D1203" s="7"/>
      <c r="E1203" s="7"/>
      <c r="F1203" s="7"/>
    </row>
    <row r="1204" ht="16.5" customHeight="1">
      <c r="A1204" s="1"/>
      <c r="C1204" s="3"/>
      <c r="D1204" s="7"/>
      <c r="E1204" s="7"/>
      <c r="F1204" s="7"/>
    </row>
    <row r="1205" ht="16.5" customHeight="1">
      <c r="A1205" s="1"/>
      <c r="C1205" s="3"/>
      <c r="D1205" s="7"/>
      <c r="E1205" s="7"/>
      <c r="F1205" s="7"/>
    </row>
    <row r="1206" ht="16.5" customHeight="1">
      <c r="A1206" s="1"/>
      <c r="C1206" s="3"/>
      <c r="D1206" s="7"/>
      <c r="E1206" s="7"/>
      <c r="F1206" s="7"/>
    </row>
    <row r="1207" ht="16.5" customHeight="1">
      <c r="A1207" s="1"/>
      <c r="C1207" s="3"/>
      <c r="D1207" s="7"/>
      <c r="E1207" s="7"/>
      <c r="F1207" s="7"/>
    </row>
    <row r="1208" ht="16.5" customHeight="1">
      <c r="A1208" s="1"/>
      <c r="C1208" s="3"/>
      <c r="D1208" s="7"/>
      <c r="E1208" s="7"/>
      <c r="F1208" s="7"/>
    </row>
    <row r="1209" ht="16.5" customHeight="1">
      <c r="A1209" s="1"/>
      <c r="C1209" s="3"/>
      <c r="D1209" s="7"/>
      <c r="E1209" s="7"/>
      <c r="F1209" s="7"/>
    </row>
    <row r="1210" ht="16.5" customHeight="1">
      <c r="A1210" s="1"/>
      <c r="C1210" s="3"/>
      <c r="D1210" s="7"/>
      <c r="E1210" s="7"/>
      <c r="F1210" s="7"/>
    </row>
    <row r="1211" ht="16.5" customHeight="1">
      <c r="A1211" s="1"/>
      <c r="C1211" s="3"/>
      <c r="D1211" s="7"/>
      <c r="E1211" s="7"/>
      <c r="F1211" s="7"/>
    </row>
    <row r="1212" ht="16.5" customHeight="1">
      <c r="A1212" s="1"/>
      <c r="C1212" s="3"/>
      <c r="D1212" s="7"/>
      <c r="E1212" s="7"/>
      <c r="F1212" s="7"/>
    </row>
    <row r="1213" ht="16.5" customHeight="1">
      <c r="A1213" s="1"/>
      <c r="C1213" s="3"/>
      <c r="D1213" s="7"/>
      <c r="E1213" s="7"/>
      <c r="F1213" s="7"/>
    </row>
    <row r="1214" ht="16.5" customHeight="1">
      <c r="A1214" s="1"/>
      <c r="C1214" s="3"/>
      <c r="D1214" s="7"/>
      <c r="E1214" s="7"/>
      <c r="F1214" s="7"/>
    </row>
    <row r="1215" ht="16.5" customHeight="1">
      <c r="A1215" s="1"/>
      <c r="C1215" s="3"/>
      <c r="D1215" s="7"/>
      <c r="E1215" s="7"/>
      <c r="F1215" s="7"/>
    </row>
    <row r="1216" ht="16.5" customHeight="1">
      <c r="A1216" s="1"/>
      <c r="C1216" s="3"/>
      <c r="D1216" s="7"/>
      <c r="E1216" s="7"/>
      <c r="F1216" s="7"/>
    </row>
    <row r="1217" ht="16.5" customHeight="1">
      <c r="A1217" s="1"/>
      <c r="C1217" s="3"/>
      <c r="D1217" s="7"/>
      <c r="E1217" s="7"/>
      <c r="F1217" s="7"/>
    </row>
    <row r="1218" ht="16.5" customHeight="1">
      <c r="A1218" s="1"/>
      <c r="C1218" s="3"/>
      <c r="D1218" s="7"/>
      <c r="E1218" s="7"/>
      <c r="F1218" s="7"/>
    </row>
    <row r="1219" ht="16.5" customHeight="1">
      <c r="A1219" s="1"/>
      <c r="C1219" s="3"/>
      <c r="D1219" s="7"/>
      <c r="E1219" s="7"/>
      <c r="F1219" s="7"/>
    </row>
    <row r="1220" ht="16.5" customHeight="1">
      <c r="A1220" s="1"/>
      <c r="C1220" s="3"/>
      <c r="D1220" s="7"/>
      <c r="E1220" s="7"/>
      <c r="F1220" s="7"/>
    </row>
    <row r="1221" ht="16.5" customHeight="1">
      <c r="A1221" s="1"/>
      <c r="C1221" s="3"/>
      <c r="D1221" s="7"/>
      <c r="E1221" s="7"/>
      <c r="F1221" s="7"/>
    </row>
    <row r="1222" ht="16.5" customHeight="1">
      <c r="A1222" s="1"/>
      <c r="C1222" s="3"/>
      <c r="D1222" s="7"/>
      <c r="E1222" s="7"/>
      <c r="F1222" s="7"/>
    </row>
    <row r="1223" ht="16.5" customHeight="1">
      <c r="A1223" s="1"/>
      <c r="C1223" s="3"/>
      <c r="D1223" s="7"/>
      <c r="E1223" s="7"/>
      <c r="F1223" s="7"/>
    </row>
    <row r="1224" ht="16.5" customHeight="1">
      <c r="A1224" s="1"/>
      <c r="C1224" s="3"/>
      <c r="D1224" s="7"/>
      <c r="E1224" s="7"/>
      <c r="F1224" s="7"/>
    </row>
    <row r="1225" ht="16.5" customHeight="1">
      <c r="A1225" s="1"/>
      <c r="C1225" s="3"/>
      <c r="D1225" s="7"/>
      <c r="E1225" s="7"/>
      <c r="F1225" s="7"/>
    </row>
    <row r="1226" ht="16.5" customHeight="1">
      <c r="A1226" s="1"/>
      <c r="C1226" s="3"/>
      <c r="D1226" s="7"/>
      <c r="E1226" s="7"/>
      <c r="F1226" s="7"/>
    </row>
    <row r="1227" ht="16.5" customHeight="1">
      <c r="A1227" s="1"/>
      <c r="C1227" s="3"/>
      <c r="D1227" s="7"/>
      <c r="E1227" s="7"/>
      <c r="F1227" s="7"/>
    </row>
    <row r="1228" ht="16.5" customHeight="1">
      <c r="A1228" s="1"/>
      <c r="C1228" s="3"/>
      <c r="D1228" s="7"/>
      <c r="E1228" s="7"/>
      <c r="F1228" s="7"/>
    </row>
    <row r="1229" ht="16.5" customHeight="1">
      <c r="A1229" s="1"/>
      <c r="C1229" s="3"/>
      <c r="D1229" s="7"/>
      <c r="E1229" s="7"/>
      <c r="F1229" s="7"/>
    </row>
    <row r="1230" ht="16.5" customHeight="1">
      <c r="A1230" s="1"/>
      <c r="C1230" s="3"/>
      <c r="D1230" s="7"/>
      <c r="E1230" s="7"/>
      <c r="F1230" s="7"/>
    </row>
    <row r="1231" ht="16.5" customHeight="1">
      <c r="A1231" s="1"/>
      <c r="C1231" s="3"/>
      <c r="D1231" s="7"/>
      <c r="E1231" s="7"/>
      <c r="F1231" s="7"/>
    </row>
    <row r="1232" ht="16.5" customHeight="1">
      <c r="A1232" s="1"/>
      <c r="C1232" s="3"/>
      <c r="D1232" s="7"/>
      <c r="E1232" s="7"/>
      <c r="F1232" s="7"/>
    </row>
    <row r="1233" ht="16.5" customHeight="1">
      <c r="A1233" s="1"/>
      <c r="C1233" s="3"/>
      <c r="D1233" s="7"/>
      <c r="E1233" s="7"/>
      <c r="F1233" s="7"/>
    </row>
    <row r="1234" ht="16.5" customHeight="1">
      <c r="A1234" s="1"/>
      <c r="C1234" s="3"/>
      <c r="D1234" s="7"/>
      <c r="E1234" s="7"/>
      <c r="F1234" s="7"/>
    </row>
    <row r="1235" ht="16.5" customHeight="1">
      <c r="A1235" s="1"/>
      <c r="C1235" s="3"/>
      <c r="D1235" s="7"/>
      <c r="E1235" s="7"/>
      <c r="F1235" s="7"/>
    </row>
    <row r="1236" ht="16.5" customHeight="1">
      <c r="A1236" s="1"/>
      <c r="C1236" s="3"/>
      <c r="D1236" s="7"/>
      <c r="E1236" s="7"/>
      <c r="F1236" s="7"/>
    </row>
    <row r="1237" ht="16.5" customHeight="1">
      <c r="A1237" s="1"/>
      <c r="C1237" s="3"/>
      <c r="D1237" s="7"/>
      <c r="E1237" s="7"/>
      <c r="F1237" s="7"/>
    </row>
    <row r="1238" ht="16.5" customHeight="1">
      <c r="A1238" s="1"/>
      <c r="C1238" s="3"/>
      <c r="D1238" s="7"/>
      <c r="E1238" s="7"/>
      <c r="F1238" s="7"/>
    </row>
    <row r="1239" ht="16.5" customHeight="1">
      <c r="A1239" s="1"/>
      <c r="C1239" s="3"/>
      <c r="D1239" s="7"/>
      <c r="E1239" s="7"/>
      <c r="F1239" s="7"/>
    </row>
    <row r="1240" ht="16.5" customHeight="1">
      <c r="A1240" s="1"/>
      <c r="C1240" s="3"/>
      <c r="D1240" s="7"/>
      <c r="E1240" s="7"/>
      <c r="F1240" s="7"/>
    </row>
    <row r="1241" ht="16.5" customHeight="1">
      <c r="A1241" s="1"/>
      <c r="C1241" s="3"/>
      <c r="D1241" s="7"/>
      <c r="E1241" s="7"/>
      <c r="F1241" s="7"/>
    </row>
    <row r="1242" ht="16.5" customHeight="1">
      <c r="A1242" s="1"/>
      <c r="C1242" s="3"/>
      <c r="D1242" s="7"/>
      <c r="E1242" s="7"/>
      <c r="F1242" s="7"/>
    </row>
    <row r="1243" ht="16.5" customHeight="1">
      <c r="A1243" s="1"/>
      <c r="C1243" s="3"/>
      <c r="D1243" s="7"/>
      <c r="E1243" s="7"/>
      <c r="F1243" s="7"/>
    </row>
    <row r="1244" ht="16.5" customHeight="1">
      <c r="A1244" s="1"/>
      <c r="C1244" s="3"/>
      <c r="D1244" s="7"/>
      <c r="E1244" s="7"/>
      <c r="F1244" s="7"/>
    </row>
    <row r="1245" ht="16.5" customHeight="1">
      <c r="A1245" s="1"/>
      <c r="C1245" s="3"/>
      <c r="D1245" s="7"/>
      <c r="E1245" s="7"/>
      <c r="F1245" s="7"/>
    </row>
    <row r="1246" ht="16.5" customHeight="1">
      <c r="A1246" s="1"/>
      <c r="C1246" s="3"/>
      <c r="D1246" s="7"/>
      <c r="E1246" s="7"/>
      <c r="F1246" s="7"/>
    </row>
    <row r="1247" ht="16.5" customHeight="1">
      <c r="A1247" s="1"/>
      <c r="C1247" s="3"/>
      <c r="D1247" s="7"/>
      <c r="E1247" s="7"/>
      <c r="F1247" s="7"/>
    </row>
    <row r="1248" ht="16.5" customHeight="1">
      <c r="A1248" s="1"/>
      <c r="C1248" s="3"/>
      <c r="D1248" s="7"/>
      <c r="E1248" s="7"/>
      <c r="F1248" s="7"/>
    </row>
    <row r="1249" ht="16.5" customHeight="1">
      <c r="A1249" s="1"/>
      <c r="C1249" s="3"/>
      <c r="D1249" s="7"/>
      <c r="E1249" s="7"/>
      <c r="F1249" s="7"/>
    </row>
    <row r="1250" ht="16.5" customHeight="1">
      <c r="A1250" s="1"/>
      <c r="C1250" s="3"/>
      <c r="D1250" s="7"/>
      <c r="E1250" s="7"/>
      <c r="F1250" s="7"/>
    </row>
    <row r="1251" ht="16.5" customHeight="1">
      <c r="A1251" s="1"/>
      <c r="C1251" s="3"/>
      <c r="D1251" s="7"/>
      <c r="E1251" s="7"/>
      <c r="F1251" s="7"/>
    </row>
    <row r="1252" ht="16.5" customHeight="1">
      <c r="A1252" s="1"/>
      <c r="C1252" s="3"/>
      <c r="D1252" s="7"/>
      <c r="E1252" s="7"/>
      <c r="F1252" s="7"/>
    </row>
    <row r="1253" ht="16.5" customHeight="1">
      <c r="A1253" s="1"/>
      <c r="C1253" s="3"/>
      <c r="D1253" s="7"/>
      <c r="E1253" s="7"/>
      <c r="F1253" s="7"/>
    </row>
    <row r="1254" ht="16.5" customHeight="1">
      <c r="A1254" s="1"/>
      <c r="C1254" s="3"/>
      <c r="D1254" s="7"/>
      <c r="E1254" s="7"/>
      <c r="F1254" s="7"/>
    </row>
    <row r="1255" ht="16.5" customHeight="1">
      <c r="A1255" s="1"/>
      <c r="C1255" s="3"/>
      <c r="D1255" s="7"/>
      <c r="E1255" s="7"/>
      <c r="F1255" s="7"/>
    </row>
    <row r="1256" ht="16.5" customHeight="1">
      <c r="A1256" s="1"/>
      <c r="C1256" s="3"/>
      <c r="D1256" s="7"/>
      <c r="E1256" s="7"/>
      <c r="F1256" s="7"/>
    </row>
    <row r="1257" ht="16.5" customHeight="1">
      <c r="A1257" s="1"/>
      <c r="C1257" s="3"/>
      <c r="D1257" s="7"/>
      <c r="E1257" s="7"/>
      <c r="F1257" s="7"/>
    </row>
    <row r="1258" ht="16.5" customHeight="1">
      <c r="A1258" s="1"/>
      <c r="C1258" s="3"/>
      <c r="D1258" s="7"/>
      <c r="E1258" s="7"/>
      <c r="F1258" s="7"/>
    </row>
    <row r="1259" ht="16.5" customHeight="1">
      <c r="A1259" s="1"/>
      <c r="C1259" s="3"/>
      <c r="D1259" s="7"/>
      <c r="E1259" s="7"/>
      <c r="F1259" s="7"/>
    </row>
    <row r="1260" ht="16.5" customHeight="1">
      <c r="A1260" s="1"/>
      <c r="C1260" s="3"/>
      <c r="D1260" s="7"/>
      <c r="E1260" s="7"/>
      <c r="F1260" s="7"/>
    </row>
    <row r="1261" ht="16.5" customHeight="1">
      <c r="A1261" s="1"/>
      <c r="C1261" s="3"/>
      <c r="D1261" s="7"/>
      <c r="E1261" s="7"/>
      <c r="F1261" s="7"/>
    </row>
    <row r="1262" ht="16.5" customHeight="1">
      <c r="A1262" s="1"/>
      <c r="C1262" s="3"/>
      <c r="D1262" s="7"/>
      <c r="E1262" s="7"/>
      <c r="F1262" s="7"/>
    </row>
    <row r="1263" ht="16.5" customHeight="1">
      <c r="A1263" s="1"/>
      <c r="C1263" s="3"/>
      <c r="D1263" s="7"/>
      <c r="E1263" s="7"/>
      <c r="F1263" s="7"/>
    </row>
    <row r="1264" ht="16.5" customHeight="1">
      <c r="A1264" s="1"/>
      <c r="C1264" s="3"/>
      <c r="D1264" s="7"/>
      <c r="E1264" s="7"/>
      <c r="F1264" s="7"/>
    </row>
    <row r="1265" ht="16.5" customHeight="1">
      <c r="A1265" s="1"/>
      <c r="C1265" s="3"/>
      <c r="D1265" s="7"/>
      <c r="E1265" s="7"/>
      <c r="F1265" s="7"/>
    </row>
    <row r="1266" ht="16.5" customHeight="1">
      <c r="A1266" s="1"/>
      <c r="C1266" s="3"/>
      <c r="D1266" s="7"/>
      <c r="E1266" s="7"/>
      <c r="F1266" s="7"/>
    </row>
    <row r="1267" ht="16.5" customHeight="1">
      <c r="A1267" s="1"/>
      <c r="C1267" s="3"/>
      <c r="D1267" s="7"/>
      <c r="E1267" s="7"/>
      <c r="F1267" s="7"/>
    </row>
    <row r="1268" ht="16.5" customHeight="1">
      <c r="A1268" s="1"/>
      <c r="C1268" s="3"/>
      <c r="D1268" s="7"/>
      <c r="E1268" s="7"/>
      <c r="F1268" s="7"/>
    </row>
    <row r="1269" ht="16.5" customHeight="1">
      <c r="A1269" s="1"/>
      <c r="C1269" s="3"/>
      <c r="D1269" s="7"/>
      <c r="E1269" s="7"/>
      <c r="F1269" s="7"/>
    </row>
    <row r="1270" ht="16.5" customHeight="1">
      <c r="A1270" s="1"/>
      <c r="C1270" s="3"/>
      <c r="D1270" s="7"/>
      <c r="E1270" s="7"/>
      <c r="F1270" s="7"/>
    </row>
    <row r="1271" ht="16.5" customHeight="1">
      <c r="A1271" s="1"/>
      <c r="C1271" s="3"/>
      <c r="D1271" s="7"/>
      <c r="E1271" s="7"/>
      <c r="F1271" s="7"/>
    </row>
    <row r="1272" ht="16.5" customHeight="1">
      <c r="A1272" s="1"/>
      <c r="C1272" s="3"/>
      <c r="D1272" s="7"/>
      <c r="E1272" s="7"/>
      <c r="F1272" s="7"/>
    </row>
    <row r="1273" ht="16.5" customHeight="1">
      <c r="A1273" s="1"/>
      <c r="C1273" s="3"/>
      <c r="D1273" s="7"/>
      <c r="E1273" s="7"/>
      <c r="F1273" s="7"/>
    </row>
    <row r="1274" ht="16.5" customHeight="1">
      <c r="A1274" s="1"/>
      <c r="C1274" s="3"/>
      <c r="D1274" s="7"/>
      <c r="E1274" s="7"/>
      <c r="F1274" s="7"/>
    </row>
    <row r="1275" ht="16.5" customHeight="1">
      <c r="A1275" s="1"/>
      <c r="C1275" s="3"/>
      <c r="D1275" s="7"/>
      <c r="E1275" s="7"/>
      <c r="F1275" s="7"/>
    </row>
    <row r="1276" ht="16.5" customHeight="1">
      <c r="A1276" s="1"/>
      <c r="C1276" s="3"/>
      <c r="D1276" s="7"/>
      <c r="E1276" s="7"/>
      <c r="F1276" s="7"/>
    </row>
    <row r="1277" ht="16.5" customHeight="1">
      <c r="A1277" s="1"/>
      <c r="C1277" s="3"/>
      <c r="D1277" s="7"/>
      <c r="E1277" s="7"/>
      <c r="F1277" s="7"/>
    </row>
    <row r="1278" ht="16.5" customHeight="1">
      <c r="A1278" s="1"/>
      <c r="C1278" s="3"/>
      <c r="D1278" s="7"/>
      <c r="E1278" s="7"/>
      <c r="F1278" s="7"/>
    </row>
    <row r="1279" ht="16.5" customHeight="1">
      <c r="A1279" s="1"/>
      <c r="C1279" s="3"/>
      <c r="D1279" s="7"/>
      <c r="E1279" s="7"/>
      <c r="F1279" s="7"/>
    </row>
    <row r="1280" ht="16.5" customHeight="1">
      <c r="A1280" s="1"/>
      <c r="C1280" s="3"/>
      <c r="D1280" s="7"/>
      <c r="E1280" s="7"/>
      <c r="F1280" s="7"/>
    </row>
    <row r="1281" ht="16.5" customHeight="1">
      <c r="A1281" s="1"/>
      <c r="C1281" s="3"/>
      <c r="D1281" s="7"/>
      <c r="E1281" s="7"/>
      <c r="F1281" s="7"/>
    </row>
    <row r="1282" ht="16.5" customHeight="1">
      <c r="A1282" s="1"/>
      <c r="C1282" s="3"/>
      <c r="D1282" s="7"/>
      <c r="E1282" s="7"/>
      <c r="F1282" s="7"/>
    </row>
    <row r="1283" ht="16.5" customHeight="1">
      <c r="A1283" s="1"/>
      <c r="C1283" s="3"/>
      <c r="D1283" s="7"/>
      <c r="E1283" s="7"/>
      <c r="F1283" s="7"/>
    </row>
    <row r="1284" ht="16.5" customHeight="1">
      <c r="A1284" s="1"/>
      <c r="C1284" s="3"/>
      <c r="D1284" s="7"/>
      <c r="E1284" s="7"/>
      <c r="F1284" s="7"/>
    </row>
    <row r="1285" ht="16.5" customHeight="1">
      <c r="A1285" s="1"/>
      <c r="C1285" s="3"/>
      <c r="D1285" s="7"/>
      <c r="E1285" s="7"/>
      <c r="F1285" s="7"/>
    </row>
    <row r="1286" ht="16.5" customHeight="1">
      <c r="A1286" s="1"/>
      <c r="C1286" s="3"/>
      <c r="D1286" s="7"/>
      <c r="E1286" s="7"/>
      <c r="F1286" s="7"/>
    </row>
    <row r="1287" ht="16.5" customHeight="1">
      <c r="A1287" s="1"/>
      <c r="C1287" s="3"/>
      <c r="D1287" s="7"/>
      <c r="E1287" s="7"/>
      <c r="F1287" s="7"/>
    </row>
    <row r="1288" ht="16.5" customHeight="1">
      <c r="A1288" s="1"/>
      <c r="C1288" s="3"/>
      <c r="D1288" s="7"/>
      <c r="E1288" s="7"/>
      <c r="F1288" s="7"/>
    </row>
    <row r="1289" ht="16.5" customHeight="1">
      <c r="A1289" s="1"/>
      <c r="C1289" s="3"/>
      <c r="D1289" s="7"/>
      <c r="E1289" s="7"/>
      <c r="F1289" s="7"/>
    </row>
    <row r="1290" ht="16.5" customHeight="1">
      <c r="A1290" s="1"/>
      <c r="C1290" s="3"/>
      <c r="D1290" s="7"/>
      <c r="E1290" s="7"/>
      <c r="F1290" s="7"/>
    </row>
    <row r="1291" ht="16.5" customHeight="1">
      <c r="A1291" s="1"/>
      <c r="C1291" s="3"/>
      <c r="D1291" s="7"/>
      <c r="E1291" s="7"/>
      <c r="F1291" s="7"/>
    </row>
    <row r="1292" ht="16.5" customHeight="1">
      <c r="A1292" s="1"/>
      <c r="C1292" s="3"/>
      <c r="D1292" s="7"/>
      <c r="E1292" s="7"/>
      <c r="F1292" s="7"/>
    </row>
    <row r="1293" ht="16.5" customHeight="1">
      <c r="A1293" s="1"/>
      <c r="C1293" s="3"/>
      <c r="D1293" s="7"/>
      <c r="E1293" s="7"/>
      <c r="F1293" s="7"/>
    </row>
    <row r="1294" ht="16.5" customHeight="1">
      <c r="A1294" s="1"/>
      <c r="C1294" s="3"/>
      <c r="D1294" s="7"/>
      <c r="E1294" s="7"/>
      <c r="F1294" s="7"/>
    </row>
    <row r="1295" ht="16.5" customHeight="1">
      <c r="A1295" s="1"/>
      <c r="C1295" s="3"/>
      <c r="D1295" s="7"/>
      <c r="E1295" s="7"/>
      <c r="F1295" s="7"/>
    </row>
    <row r="1296" ht="16.5" customHeight="1">
      <c r="A1296" s="1"/>
      <c r="C1296" s="3"/>
      <c r="D1296" s="7"/>
      <c r="E1296" s="7"/>
      <c r="F1296" s="7"/>
    </row>
    <row r="1297" ht="16.5" customHeight="1">
      <c r="A1297" s="1"/>
      <c r="C1297" s="3"/>
      <c r="D1297" s="7"/>
      <c r="E1297" s="7"/>
      <c r="F1297" s="7"/>
    </row>
    <row r="1298" ht="16.5" customHeight="1">
      <c r="A1298" s="1"/>
      <c r="C1298" s="3"/>
      <c r="D1298" s="7"/>
      <c r="E1298" s="7"/>
      <c r="F1298" s="7"/>
    </row>
    <row r="1299" ht="16.5" customHeight="1">
      <c r="A1299" s="1"/>
      <c r="C1299" s="3"/>
      <c r="D1299" s="7"/>
      <c r="E1299" s="7"/>
      <c r="F1299" s="7"/>
    </row>
    <row r="1300" ht="16.5" customHeight="1">
      <c r="A1300" s="1"/>
      <c r="C1300" s="3"/>
      <c r="D1300" s="7"/>
      <c r="E1300" s="7"/>
      <c r="F1300" s="7"/>
    </row>
    <row r="1301" ht="16.5" customHeight="1">
      <c r="A1301" s="1"/>
      <c r="C1301" s="3"/>
      <c r="D1301" s="7"/>
      <c r="E1301" s="7"/>
      <c r="F1301" s="7"/>
    </row>
    <row r="1302" ht="16.5" customHeight="1">
      <c r="A1302" s="1"/>
      <c r="C1302" s="3"/>
      <c r="D1302" s="7"/>
      <c r="E1302" s="7"/>
      <c r="F1302" s="7"/>
    </row>
    <row r="1303" ht="16.5" customHeight="1">
      <c r="A1303" s="1"/>
      <c r="C1303" s="3"/>
      <c r="D1303" s="7"/>
      <c r="E1303" s="7"/>
      <c r="F1303" s="7"/>
    </row>
    <row r="1304" ht="16.5" customHeight="1">
      <c r="A1304" s="1"/>
      <c r="C1304" s="3"/>
      <c r="D1304" s="7"/>
      <c r="E1304" s="7"/>
      <c r="F1304" s="7"/>
    </row>
    <row r="1305" ht="16.5" customHeight="1">
      <c r="A1305" s="1"/>
      <c r="C1305" s="3"/>
      <c r="D1305" s="7"/>
      <c r="E1305" s="7"/>
      <c r="F1305" s="7"/>
    </row>
    <row r="1306" ht="16.5" customHeight="1">
      <c r="A1306" s="1"/>
      <c r="C1306" s="3"/>
      <c r="D1306" s="7"/>
      <c r="E1306" s="7"/>
      <c r="F1306" s="7"/>
    </row>
    <row r="1307" ht="16.5" customHeight="1">
      <c r="A1307" s="1"/>
      <c r="C1307" s="3"/>
      <c r="D1307" s="7"/>
      <c r="E1307" s="7"/>
      <c r="F1307" s="7"/>
    </row>
    <row r="1308" ht="16.5" customHeight="1">
      <c r="A1308" s="1"/>
      <c r="C1308" s="3"/>
      <c r="D1308" s="7"/>
      <c r="E1308" s="7"/>
      <c r="F1308" s="7"/>
    </row>
    <row r="1309" ht="16.5" customHeight="1">
      <c r="A1309" s="1"/>
      <c r="C1309" s="3"/>
      <c r="D1309" s="7"/>
      <c r="E1309" s="7"/>
      <c r="F1309" s="7"/>
    </row>
    <row r="1310" ht="16.5" customHeight="1">
      <c r="A1310" s="1"/>
      <c r="C1310" s="3"/>
      <c r="D1310" s="7"/>
      <c r="E1310" s="7"/>
      <c r="F1310" s="7"/>
    </row>
    <row r="1311" ht="16.5" customHeight="1">
      <c r="A1311" s="1"/>
      <c r="C1311" s="3"/>
      <c r="D1311" s="7"/>
      <c r="E1311" s="7"/>
      <c r="F1311" s="7"/>
    </row>
    <row r="1312" ht="16.5" customHeight="1">
      <c r="A1312" s="1"/>
      <c r="C1312" s="3"/>
      <c r="D1312" s="7"/>
      <c r="E1312" s="7"/>
      <c r="F1312" s="7"/>
    </row>
    <row r="1313" ht="16.5" customHeight="1">
      <c r="A1313" s="1"/>
      <c r="C1313" s="3"/>
      <c r="D1313" s="7"/>
      <c r="E1313" s="7"/>
      <c r="F1313" s="7"/>
    </row>
    <row r="1314" ht="16.5" customHeight="1">
      <c r="A1314" s="1"/>
      <c r="C1314" s="3"/>
      <c r="D1314" s="7"/>
      <c r="E1314" s="7"/>
      <c r="F1314" s="7"/>
    </row>
    <row r="1315" ht="16.5" customHeight="1">
      <c r="A1315" s="1"/>
      <c r="C1315" s="3"/>
      <c r="D1315" s="7"/>
      <c r="E1315" s="7"/>
      <c r="F1315" s="7"/>
    </row>
    <row r="1316" ht="16.5" customHeight="1">
      <c r="A1316" s="1"/>
      <c r="C1316" s="3"/>
      <c r="D1316" s="7"/>
      <c r="E1316" s="7"/>
      <c r="F1316" s="7"/>
    </row>
    <row r="1317" ht="16.5" customHeight="1">
      <c r="A1317" s="1"/>
      <c r="C1317" s="3"/>
      <c r="D1317" s="7"/>
      <c r="E1317" s="7"/>
      <c r="F1317" s="7"/>
    </row>
    <row r="1318" ht="16.5" customHeight="1">
      <c r="A1318" s="1"/>
      <c r="C1318" s="3"/>
      <c r="D1318" s="7"/>
      <c r="E1318" s="7"/>
      <c r="F1318" s="7"/>
    </row>
    <row r="1319" ht="16.5" customHeight="1">
      <c r="A1319" s="1"/>
      <c r="C1319" s="3"/>
      <c r="D1319" s="7"/>
      <c r="E1319" s="7"/>
      <c r="F1319" s="7"/>
    </row>
    <row r="1320" ht="16.5" customHeight="1">
      <c r="A1320" s="1"/>
      <c r="C1320" s="3"/>
      <c r="D1320" s="7"/>
      <c r="E1320" s="7"/>
      <c r="F1320" s="7"/>
    </row>
    <row r="1321" ht="16.5" customHeight="1">
      <c r="A1321" s="1"/>
      <c r="C1321" s="3"/>
      <c r="D1321" s="7"/>
      <c r="E1321" s="7"/>
      <c r="F1321" s="7"/>
    </row>
    <row r="1322" ht="16.5" customHeight="1">
      <c r="A1322" s="1"/>
      <c r="C1322" s="3"/>
      <c r="D1322" s="7"/>
      <c r="E1322" s="7"/>
      <c r="F1322" s="7"/>
    </row>
    <row r="1323" ht="16.5" customHeight="1">
      <c r="A1323" s="1"/>
      <c r="C1323" s="3"/>
      <c r="D1323" s="7"/>
      <c r="E1323" s="7"/>
      <c r="F1323" s="7"/>
    </row>
    <row r="1324" ht="16.5" customHeight="1">
      <c r="A1324" s="1"/>
      <c r="C1324" s="3"/>
      <c r="D1324" s="7"/>
      <c r="E1324" s="7"/>
      <c r="F1324" s="7"/>
    </row>
    <row r="1325" ht="16.5" customHeight="1">
      <c r="A1325" s="1"/>
      <c r="C1325" s="3"/>
      <c r="D1325" s="7"/>
      <c r="E1325" s="7"/>
      <c r="F1325" s="7"/>
    </row>
    <row r="1326" ht="16.5" customHeight="1">
      <c r="A1326" s="1"/>
      <c r="C1326" s="3"/>
      <c r="D1326" s="7"/>
      <c r="E1326" s="7"/>
      <c r="F1326" s="7"/>
    </row>
    <row r="1327" ht="16.5" customHeight="1">
      <c r="A1327" s="1"/>
      <c r="C1327" s="3"/>
      <c r="D1327" s="7"/>
      <c r="E1327" s="7"/>
      <c r="F1327" s="7"/>
    </row>
    <row r="1328" ht="16.5" customHeight="1">
      <c r="A1328" s="1"/>
      <c r="C1328" s="3"/>
      <c r="D1328" s="7"/>
      <c r="E1328" s="7"/>
      <c r="F1328" s="7"/>
    </row>
    <row r="1329" ht="16.5" customHeight="1">
      <c r="A1329" s="1"/>
      <c r="C1329" s="3"/>
      <c r="D1329" s="7"/>
      <c r="E1329" s="7"/>
      <c r="F1329" s="7"/>
    </row>
    <row r="1330" ht="16.5" customHeight="1">
      <c r="A1330" s="1"/>
      <c r="C1330" s="3"/>
      <c r="D1330" s="7"/>
      <c r="E1330" s="7"/>
      <c r="F1330" s="7"/>
    </row>
    <row r="1331" ht="16.5" customHeight="1">
      <c r="A1331" s="1"/>
      <c r="C1331" s="3"/>
      <c r="D1331" s="7"/>
      <c r="E1331" s="7"/>
      <c r="F1331" s="7"/>
    </row>
    <row r="1332" ht="16.5" customHeight="1">
      <c r="A1332" s="1"/>
      <c r="C1332" s="3"/>
      <c r="D1332" s="7"/>
      <c r="E1332" s="7"/>
      <c r="F1332" s="7"/>
    </row>
    <row r="1333" ht="16.5" customHeight="1">
      <c r="A1333" s="1"/>
      <c r="C1333" s="3"/>
      <c r="D1333" s="7"/>
      <c r="E1333" s="7"/>
      <c r="F1333" s="7"/>
    </row>
    <row r="1334" ht="16.5" customHeight="1">
      <c r="A1334" s="1"/>
      <c r="C1334" s="3"/>
      <c r="D1334" s="7"/>
      <c r="E1334" s="7"/>
      <c r="F1334" s="7"/>
    </row>
    <row r="1335" ht="16.5" customHeight="1">
      <c r="A1335" s="1"/>
      <c r="C1335" s="3"/>
      <c r="D1335" s="7"/>
      <c r="E1335" s="7"/>
      <c r="F1335" s="7"/>
    </row>
    <row r="1336" ht="16.5" customHeight="1">
      <c r="A1336" s="1"/>
      <c r="C1336" s="3"/>
      <c r="D1336" s="7"/>
      <c r="E1336" s="7"/>
      <c r="F1336" s="7"/>
    </row>
    <row r="1337" ht="16.5" customHeight="1">
      <c r="A1337" s="1"/>
      <c r="C1337" s="3"/>
      <c r="D1337" s="7"/>
      <c r="E1337" s="7"/>
      <c r="F1337" s="7"/>
    </row>
    <row r="1338" ht="16.5" customHeight="1">
      <c r="A1338" s="1"/>
      <c r="C1338" s="3"/>
      <c r="D1338" s="7"/>
      <c r="E1338" s="7"/>
      <c r="F1338" s="7"/>
    </row>
    <row r="1339" ht="16.5" customHeight="1">
      <c r="A1339" s="1"/>
      <c r="C1339" s="3"/>
      <c r="D1339" s="7"/>
      <c r="E1339" s="7"/>
      <c r="F1339" s="7"/>
    </row>
    <row r="1340" ht="16.5" customHeight="1">
      <c r="A1340" s="1"/>
      <c r="C1340" s="3"/>
      <c r="D1340" s="7"/>
      <c r="E1340" s="7"/>
      <c r="F1340" s="7"/>
    </row>
    <row r="1341" ht="16.5" customHeight="1">
      <c r="A1341" s="1"/>
      <c r="C1341" s="3"/>
      <c r="D1341" s="7"/>
      <c r="E1341" s="7"/>
      <c r="F1341" s="7"/>
    </row>
    <row r="1342" ht="16.5" customHeight="1">
      <c r="A1342" s="1"/>
      <c r="C1342" s="3"/>
      <c r="D1342" s="7"/>
      <c r="E1342" s="7"/>
      <c r="F1342" s="7"/>
    </row>
    <row r="1343" ht="16.5" customHeight="1">
      <c r="A1343" s="1"/>
      <c r="C1343" s="3"/>
      <c r="D1343" s="7"/>
      <c r="E1343" s="7"/>
      <c r="F1343" s="7"/>
    </row>
    <row r="1344" ht="16.5" customHeight="1">
      <c r="A1344" s="1"/>
      <c r="C1344" s="3"/>
      <c r="D1344" s="7"/>
      <c r="E1344" s="7"/>
      <c r="F1344" s="7"/>
    </row>
    <row r="1345" ht="16.5" customHeight="1">
      <c r="A1345" s="1"/>
      <c r="C1345" s="3"/>
      <c r="D1345" s="7"/>
      <c r="E1345" s="7"/>
      <c r="F1345" s="7"/>
    </row>
    <row r="1346" ht="16.5" customHeight="1">
      <c r="A1346" s="1"/>
      <c r="C1346" s="3"/>
      <c r="D1346" s="7"/>
      <c r="E1346" s="7"/>
      <c r="F1346" s="7"/>
    </row>
    <row r="1347" ht="16.5" customHeight="1">
      <c r="A1347" s="1"/>
      <c r="C1347" s="3"/>
      <c r="D1347" s="7"/>
      <c r="E1347" s="7"/>
      <c r="F1347" s="7"/>
    </row>
    <row r="1348" ht="16.5" customHeight="1">
      <c r="A1348" s="1"/>
      <c r="C1348" s="3"/>
      <c r="D1348" s="7"/>
      <c r="E1348" s="7"/>
      <c r="F1348" s="7"/>
    </row>
    <row r="1349" ht="16.5" customHeight="1">
      <c r="A1349" s="1"/>
      <c r="C1349" s="3"/>
      <c r="D1349" s="7"/>
      <c r="E1349" s="7"/>
      <c r="F1349" s="7"/>
    </row>
    <row r="1350" ht="16.5" customHeight="1">
      <c r="A1350" s="1"/>
      <c r="C1350" s="3"/>
      <c r="D1350" s="7"/>
      <c r="E1350" s="7"/>
      <c r="F1350" s="7"/>
    </row>
    <row r="1351" ht="16.5" customHeight="1">
      <c r="A1351" s="1"/>
      <c r="C1351" s="3"/>
      <c r="D1351" s="7"/>
      <c r="E1351" s="7"/>
      <c r="F1351" s="7"/>
    </row>
    <row r="1352" ht="16.5" customHeight="1">
      <c r="A1352" s="1"/>
      <c r="C1352" s="3"/>
      <c r="D1352" s="7"/>
      <c r="E1352" s="7"/>
      <c r="F1352" s="7"/>
    </row>
    <row r="1353" ht="16.5" customHeight="1">
      <c r="A1353" s="1"/>
      <c r="C1353" s="3"/>
      <c r="D1353" s="7"/>
      <c r="E1353" s="7"/>
      <c r="F1353" s="7"/>
    </row>
    <row r="1354" ht="16.5" customHeight="1">
      <c r="A1354" s="1"/>
      <c r="C1354" s="3"/>
      <c r="D1354" s="7"/>
      <c r="E1354" s="7"/>
      <c r="F1354" s="7"/>
    </row>
    <row r="1355" ht="16.5" customHeight="1">
      <c r="A1355" s="1"/>
      <c r="C1355" s="3"/>
      <c r="D1355" s="7"/>
      <c r="E1355" s="7"/>
      <c r="F1355" s="7"/>
    </row>
    <row r="1356" ht="16.5" customHeight="1">
      <c r="A1356" s="1"/>
      <c r="C1356" s="3"/>
      <c r="D1356" s="7"/>
      <c r="E1356" s="7"/>
      <c r="F1356" s="7"/>
    </row>
    <row r="1357" ht="16.5" customHeight="1">
      <c r="A1357" s="1"/>
      <c r="C1357" s="3"/>
      <c r="D1357" s="7"/>
      <c r="E1357" s="7"/>
      <c r="F1357" s="7"/>
    </row>
    <row r="1358" ht="16.5" customHeight="1">
      <c r="A1358" s="1"/>
      <c r="C1358" s="3"/>
      <c r="D1358" s="7"/>
      <c r="E1358" s="7"/>
      <c r="F1358" s="7"/>
    </row>
    <row r="1359" ht="16.5" customHeight="1">
      <c r="A1359" s="1"/>
      <c r="C1359" s="3"/>
      <c r="D1359" s="7"/>
      <c r="E1359" s="7"/>
      <c r="F1359" s="7"/>
    </row>
    <row r="1360" ht="16.5" customHeight="1">
      <c r="A1360" s="1"/>
      <c r="C1360" s="3"/>
      <c r="D1360" s="7"/>
      <c r="E1360" s="7"/>
      <c r="F1360" s="7"/>
    </row>
    <row r="1361" ht="16.5" customHeight="1">
      <c r="A1361" s="1"/>
      <c r="C1361" s="3"/>
      <c r="D1361" s="7"/>
      <c r="E1361" s="7"/>
      <c r="F1361" s="7"/>
    </row>
    <row r="1362" ht="16.5" customHeight="1">
      <c r="A1362" s="1"/>
      <c r="C1362" s="3"/>
      <c r="D1362" s="7"/>
      <c r="E1362" s="7"/>
      <c r="F1362" s="7"/>
    </row>
    <row r="1363" ht="16.5" customHeight="1">
      <c r="A1363" s="1"/>
      <c r="C1363" s="3"/>
      <c r="D1363" s="7"/>
      <c r="E1363" s="7"/>
      <c r="F1363" s="7"/>
    </row>
    <row r="1364" ht="16.5" customHeight="1">
      <c r="A1364" s="1"/>
      <c r="C1364" s="3"/>
      <c r="D1364" s="7"/>
      <c r="E1364" s="7"/>
      <c r="F1364" s="7"/>
    </row>
    <row r="1365" ht="16.5" customHeight="1">
      <c r="A1365" s="1"/>
      <c r="C1365" s="3"/>
      <c r="D1365" s="7"/>
      <c r="E1365" s="7"/>
      <c r="F1365" s="7"/>
    </row>
    <row r="1366" ht="16.5" customHeight="1">
      <c r="A1366" s="1"/>
      <c r="C1366" s="3"/>
      <c r="D1366" s="7"/>
      <c r="E1366" s="7"/>
      <c r="F1366" s="7"/>
    </row>
    <row r="1367" ht="16.5" customHeight="1">
      <c r="A1367" s="1"/>
      <c r="C1367" s="3"/>
      <c r="D1367" s="7"/>
      <c r="E1367" s="7"/>
      <c r="F1367" s="7"/>
    </row>
    <row r="1368" ht="16.5" customHeight="1">
      <c r="A1368" s="1"/>
      <c r="C1368" s="3"/>
      <c r="D1368" s="7"/>
      <c r="E1368" s="7"/>
      <c r="F1368" s="7"/>
    </row>
    <row r="1369" ht="16.5" customHeight="1">
      <c r="A1369" s="1"/>
      <c r="C1369" s="3"/>
      <c r="D1369" s="7"/>
      <c r="E1369" s="7"/>
      <c r="F1369" s="7"/>
    </row>
    <row r="1370" ht="16.5" customHeight="1">
      <c r="A1370" s="1"/>
      <c r="C1370" s="3"/>
      <c r="D1370" s="7"/>
      <c r="E1370" s="7"/>
      <c r="F1370" s="7"/>
    </row>
    <row r="1371" ht="16.5" customHeight="1">
      <c r="A1371" s="1"/>
      <c r="C1371" s="3"/>
      <c r="D1371" s="7"/>
      <c r="E1371" s="7"/>
      <c r="F1371" s="7"/>
    </row>
    <row r="1372" ht="16.5" customHeight="1">
      <c r="A1372" s="1"/>
      <c r="C1372" s="3"/>
      <c r="D1372" s="7"/>
      <c r="E1372" s="7"/>
      <c r="F1372" s="7"/>
    </row>
    <row r="1373" ht="16.5" customHeight="1">
      <c r="A1373" s="1"/>
      <c r="C1373" s="3"/>
      <c r="D1373" s="7"/>
      <c r="E1373" s="7"/>
      <c r="F1373" s="7"/>
    </row>
    <row r="1374" ht="16.5" customHeight="1">
      <c r="A1374" s="1"/>
      <c r="C1374" s="3"/>
      <c r="D1374" s="7"/>
      <c r="E1374" s="7"/>
      <c r="F1374" s="7"/>
    </row>
    <row r="1375" ht="16.5" customHeight="1">
      <c r="A1375" s="1"/>
      <c r="C1375" s="3"/>
      <c r="D1375" s="7"/>
      <c r="E1375" s="7"/>
      <c r="F1375" s="7"/>
    </row>
    <row r="1376" ht="16.5" customHeight="1">
      <c r="A1376" s="1"/>
      <c r="C1376" s="3"/>
      <c r="D1376" s="7"/>
      <c r="E1376" s="7"/>
      <c r="F1376" s="7"/>
    </row>
    <row r="1377" ht="16.5" customHeight="1">
      <c r="A1377" s="1"/>
      <c r="C1377" s="3"/>
      <c r="D1377" s="7"/>
      <c r="E1377" s="7"/>
      <c r="F1377" s="7"/>
    </row>
    <row r="1378" ht="16.5" customHeight="1">
      <c r="A1378" s="1"/>
      <c r="C1378" s="3"/>
      <c r="D1378" s="7"/>
      <c r="E1378" s="7"/>
      <c r="F1378" s="7"/>
    </row>
    <row r="1379" ht="16.5" customHeight="1">
      <c r="A1379" s="1"/>
      <c r="C1379" s="3"/>
      <c r="D1379" s="7"/>
      <c r="E1379" s="7"/>
      <c r="F1379" s="7"/>
    </row>
    <row r="1380" ht="16.5" customHeight="1">
      <c r="A1380" s="1"/>
      <c r="C1380" s="3"/>
      <c r="D1380" s="7"/>
      <c r="E1380" s="7"/>
      <c r="F1380" s="7"/>
    </row>
    <row r="1381" ht="16.5" customHeight="1">
      <c r="A1381" s="1"/>
      <c r="C1381" s="3"/>
      <c r="D1381" s="7"/>
      <c r="E1381" s="7"/>
      <c r="F1381" s="7"/>
    </row>
    <row r="1382" ht="16.5" customHeight="1">
      <c r="A1382" s="1"/>
      <c r="C1382" s="3"/>
      <c r="D1382" s="7"/>
      <c r="E1382" s="7"/>
      <c r="F1382" s="7"/>
    </row>
  </sheetData>
  <autoFilter ref="$A$2:$L$183">
    <filterColumn colId="2">
      <filters>
        <filter val="K9"/>
      </filters>
    </filterColumn>
  </autoFilter>
  <mergeCells count="1">
    <mergeCell ref="C507:D50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1.22" defaultRowHeight="15.0"/>
  <cols>
    <col customWidth="1" min="1" max="1" width="8.56"/>
    <col customWidth="1" min="2" max="2" width="30.78"/>
    <col customWidth="1" min="3" max="3" width="19.78"/>
    <col customWidth="1" min="4" max="4" width="10.44"/>
    <col customWidth="1" min="5" max="5" width="14.44"/>
    <col customWidth="1" min="6" max="12" width="13.67"/>
    <col customWidth="1" min="13" max="15" width="14.67"/>
    <col customWidth="1" min="16" max="16" width="15.67"/>
    <col customWidth="1" min="17" max="17" width="14.11"/>
    <col customWidth="1" min="18" max="18" width="15.78"/>
    <col customWidth="1" min="19" max="30" width="8.56"/>
  </cols>
  <sheetData>
    <row r="1" ht="16.5" customHeight="1">
      <c r="B1" s="2"/>
      <c r="C1" s="2"/>
    </row>
    <row r="2" ht="31.5" customHeight="1">
      <c r="B2" s="4" t="s">
        <v>0</v>
      </c>
      <c r="C2" s="4" t="s">
        <v>1</v>
      </c>
      <c r="D2" s="5" t="s">
        <v>2</v>
      </c>
      <c r="E2" s="6"/>
      <c r="F2" s="8" t="s">
        <v>3</v>
      </c>
      <c r="G2" s="8" t="s">
        <v>5</v>
      </c>
      <c r="H2" s="8" t="s">
        <v>6</v>
      </c>
      <c r="I2" s="8" t="s">
        <v>7</v>
      </c>
      <c r="J2" s="11" t="s">
        <v>8</v>
      </c>
      <c r="K2" s="11" t="s">
        <v>12</v>
      </c>
      <c r="L2" s="11" t="s">
        <v>13</v>
      </c>
      <c r="M2" s="11" t="s">
        <v>14</v>
      </c>
      <c r="N2" s="4" t="s">
        <v>10</v>
      </c>
      <c r="O2" s="13" t="s">
        <v>11</v>
      </c>
    </row>
    <row r="3" ht="16.5" customHeight="1">
      <c r="B3" s="14"/>
      <c r="C3" s="14"/>
      <c r="D3" s="16" t="s">
        <v>16</v>
      </c>
      <c r="E3" s="16" t="s">
        <v>4</v>
      </c>
      <c r="F3" s="14"/>
      <c r="G3" s="14"/>
      <c r="H3" s="14"/>
      <c r="I3" s="14"/>
      <c r="J3" s="14"/>
      <c r="K3" s="14"/>
      <c r="L3" s="14"/>
      <c r="M3" s="14"/>
      <c r="N3" s="14"/>
      <c r="O3" s="14"/>
    </row>
    <row r="4" ht="16.5" customHeight="1">
      <c r="B4" s="21" t="s">
        <v>20</v>
      </c>
      <c r="C4" s="24" t="s">
        <v>23</v>
      </c>
      <c r="D4" s="27">
        <v>167182.0</v>
      </c>
      <c r="E4" s="30"/>
      <c r="F4" s="30">
        <v>70000.0</v>
      </c>
      <c r="G4" s="30">
        <v>13591.0</v>
      </c>
      <c r="H4" s="30"/>
      <c r="I4" s="30"/>
      <c r="J4" s="30"/>
      <c r="K4" s="30"/>
      <c r="L4" s="30"/>
      <c r="M4" s="30"/>
      <c r="N4" s="30">
        <f>D4-F4-G4</f>
        <v>83591</v>
      </c>
      <c r="O4" s="30"/>
      <c r="P4" s="34">
        <f>N4*16500</f>
        <v>1379251500</v>
      </c>
    </row>
    <row r="5" ht="16.5" customHeight="1">
      <c r="B5" s="36" t="s">
        <v>29</v>
      </c>
      <c r="C5" s="39" t="s">
        <v>30</v>
      </c>
      <c r="D5" s="41"/>
      <c r="E5" s="43">
        <f>94800000+71100000-23700000</f>
        <v>142200000</v>
      </c>
      <c r="F5" s="43">
        <f>Rekap!E64</f>
        <v>94800000</v>
      </c>
      <c r="G5" s="43">
        <f>Rekap!E190</f>
        <v>47400000</v>
      </c>
      <c r="H5" s="43"/>
      <c r="I5" s="43"/>
      <c r="J5" s="43"/>
      <c r="K5" s="43"/>
      <c r="L5" s="43"/>
      <c r="M5" s="43"/>
      <c r="N5" s="46">
        <f t="shared" ref="N5:N6" si="1">E5-F5-G5-H5</f>
        <v>0</v>
      </c>
      <c r="O5" s="46"/>
    </row>
    <row r="6" ht="16.5" customHeight="1">
      <c r="B6" s="47" t="s">
        <v>37</v>
      </c>
      <c r="C6" s="39" t="s">
        <v>40</v>
      </c>
      <c r="D6" s="41"/>
      <c r="E6" s="43">
        <v>1.15E8</v>
      </c>
      <c r="F6" s="43">
        <f>Rekap!E84</f>
        <v>115000000</v>
      </c>
      <c r="G6" s="43"/>
      <c r="H6" s="43"/>
      <c r="I6" s="43"/>
      <c r="J6" s="43"/>
      <c r="K6" s="43"/>
      <c r="L6" s="43"/>
      <c r="M6" s="43"/>
      <c r="N6" s="46">
        <f t="shared" si="1"/>
        <v>0</v>
      </c>
      <c r="O6" s="46"/>
    </row>
    <row r="7" ht="16.5" customHeight="1">
      <c r="B7" s="25" t="s">
        <v>41</v>
      </c>
      <c r="C7" s="51" t="s">
        <v>42</v>
      </c>
      <c r="D7" s="49"/>
      <c r="E7" s="38">
        <v>6.51114046E8</v>
      </c>
      <c r="F7" s="38">
        <f>Rekap!E53</f>
        <v>325557023</v>
      </c>
      <c r="G7" s="38">
        <f>Rekap!E216</f>
        <v>100000000</v>
      </c>
      <c r="H7" s="38">
        <f>Rekap!E218</f>
        <v>151325688</v>
      </c>
      <c r="I7" s="38"/>
      <c r="J7" s="38"/>
      <c r="K7" s="38"/>
      <c r="L7" s="38"/>
      <c r="M7" s="38"/>
      <c r="N7" s="38">
        <f t="shared" ref="N7:N11" si="2">E7-F7-G7-H7-I7-J7-K7-L7-M7</f>
        <v>74231335</v>
      </c>
      <c r="O7" s="38"/>
    </row>
    <row r="8" ht="16.5" customHeight="1">
      <c r="B8" s="25" t="s">
        <v>44</v>
      </c>
      <c r="C8" s="54" t="s">
        <v>45</v>
      </c>
      <c r="D8" s="49"/>
      <c r="E8" s="56">
        <f>18000000+115785000</f>
        <v>133785000</v>
      </c>
      <c r="F8" s="38">
        <f>Rekap!E182</f>
        <v>9000000</v>
      </c>
      <c r="G8" s="38">
        <f>Rekap!E194</f>
        <v>7200000</v>
      </c>
      <c r="H8" s="38">
        <f>Rekap!E367</f>
        <v>57892500</v>
      </c>
      <c r="I8" s="38"/>
      <c r="J8" s="38"/>
      <c r="K8" s="38"/>
      <c r="L8" s="38"/>
      <c r="M8" s="38"/>
      <c r="N8" s="38">
        <f t="shared" si="2"/>
        <v>59692500</v>
      </c>
      <c r="O8" s="38"/>
    </row>
    <row r="9" ht="16.5" customHeight="1">
      <c r="B9" s="25" t="s">
        <v>48</v>
      </c>
      <c r="C9" s="54" t="s">
        <v>49</v>
      </c>
      <c r="D9" s="49"/>
      <c r="E9" s="56">
        <v>2.11377293E8</v>
      </c>
      <c r="F9" s="38">
        <f>Rekap!E175</f>
        <v>105688647</v>
      </c>
      <c r="G9" s="38"/>
      <c r="H9" s="38"/>
      <c r="I9" s="38"/>
      <c r="J9" s="38"/>
      <c r="K9" s="38"/>
      <c r="L9" s="38"/>
      <c r="M9" s="38"/>
      <c r="N9" s="38">
        <f t="shared" si="2"/>
        <v>105688646</v>
      </c>
      <c r="O9" s="38"/>
      <c r="P9" s="60">
        <f t="shared" ref="P9:P11" si="3">N9</f>
        <v>105688646</v>
      </c>
    </row>
    <row r="10" ht="16.5" customHeight="1">
      <c r="B10" s="25" t="s">
        <v>52</v>
      </c>
      <c r="C10" s="54" t="s">
        <v>53</v>
      </c>
      <c r="D10" s="49"/>
      <c r="E10" s="56">
        <v>3.68E8</v>
      </c>
      <c r="F10" s="38">
        <f>Rekap!E195</f>
        <v>150000000</v>
      </c>
      <c r="G10" s="38">
        <f>Rekap!E261</f>
        <v>120000000</v>
      </c>
      <c r="H10" s="38">
        <f>Rekap!E350</f>
        <v>60000000</v>
      </c>
      <c r="I10" s="38"/>
      <c r="J10" s="38"/>
      <c r="K10" s="38"/>
      <c r="L10" s="38"/>
      <c r="M10" s="38"/>
      <c r="N10" s="38">
        <f t="shared" si="2"/>
        <v>38000000</v>
      </c>
      <c r="O10" s="38"/>
      <c r="P10" s="60">
        <f t="shared" si="3"/>
        <v>38000000</v>
      </c>
    </row>
    <row r="11" ht="16.5" customHeight="1">
      <c r="B11" s="25" t="s">
        <v>56</v>
      </c>
      <c r="C11" s="54" t="s">
        <v>53</v>
      </c>
      <c r="D11" s="49"/>
      <c r="E11" s="52">
        <v>1.24445313E8</v>
      </c>
      <c r="F11" s="38">
        <f>Rekap!E351</f>
        <v>60000000</v>
      </c>
      <c r="G11" s="38"/>
      <c r="H11" s="38"/>
      <c r="I11" s="38"/>
      <c r="J11" s="38"/>
      <c r="K11" s="38"/>
      <c r="L11" s="38"/>
      <c r="M11" s="38"/>
      <c r="N11" s="38">
        <f t="shared" si="2"/>
        <v>64445313</v>
      </c>
      <c r="O11" s="38"/>
      <c r="P11" s="60">
        <f t="shared" si="3"/>
        <v>64445313</v>
      </c>
    </row>
    <row r="12" ht="16.5" customHeight="1">
      <c r="B12" s="64" t="s">
        <v>59</v>
      </c>
      <c r="C12" s="64" t="s">
        <v>53</v>
      </c>
      <c r="D12" s="66"/>
      <c r="E12" s="68">
        <v>2.5E7</v>
      </c>
      <c r="F12" s="46">
        <f>Rekap!E255</f>
        <v>25000000</v>
      </c>
      <c r="G12" s="46"/>
      <c r="H12" s="46"/>
      <c r="I12" s="46"/>
      <c r="J12" s="46"/>
      <c r="K12" s="46"/>
      <c r="L12" s="46"/>
      <c r="M12" s="46"/>
      <c r="N12" s="46">
        <f t="shared" ref="N12:N14" si="4">E12-F12-G12-H12-I12</f>
        <v>0</v>
      </c>
      <c r="O12" s="38"/>
    </row>
    <row r="13" ht="16.5" customHeight="1">
      <c r="B13" s="64" t="s">
        <v>68</v>
      </c>
      <c r="C13" s="69" t="s">
        <v>53</v>
      </c>
      <c r="D13" s="66"/>
      <c r="E13" s="68">
        <v>9.887E7</v>
      </c>
      <c r="F13" s="46">
        <f>Rekap!E229</f>
        <v>47150000</v>
      </c>
      <c r="G13" s="46">
        <f>Rekap!E249</f>
        <v>51720000</v>
      </c>
      <c r="H13" s="46"/>
      <c r="I13" s="46"/>
      <c r="J13" s="46"/>
      <c r="K13" s="46"/>
      <c r="L13" s="46"/>
      <c r="M13" s="46"/>
      <c r="N13" s="46">
        <f t="shared" si="4"/>
        <v>0</v>
      </c>
      <c r="O13" s="38"/>
    </row>
    <row r="14" ht="16.5" customHeight="1">
      <c r="B14" s="64" t="s">
        <v>71</v>
      </c>
      <c r="C14" s="69" t="s">
        <v>53</v>
      </c>
      <c r="D14" s="66"/>
      <c r="E14" s="68">
        <v>2.56E7</v>
      </c>
      <c r="F14" s="46">
        <f>Rekap!E378</f>
        <v>25600000</v>
      </c>
      <c r="G14" s="46"/>
      <c r="H14" s="46"/>
      <c r="I14" s="46"/>
      <c r="J14" s="46"/>
      <c r="K14" s="46"/>
      <c r="L14" s="46"/>
      <c r="M14" s="46"/>
      <c r="N14" s="46">
        <f t="shared" si="4"/>
        <v>0</v>
      </c>
      <c r="O14" s="38"/>
    </row>
    <row r="15" ht="16.5" customHeight="1">
      <c r="B15" s="25" t="s">
        <v>73</v>
      </c>
      <c r="C15" s="51" t="s">
        <v>26</v>
      </c>
      <c r="D15" s="49"/>
      <c r="E15" s="38">
        <f>1000000000+150000000</f>
        <v>1150000000</v>
      </c>
      <c r="F15" s="38">
        <f>Rekap!E57</f>
        <v>404825000</v>
      </c>
      <c r="G15" s="38">
        <f>Rekap!E78</f>
        <v>250000000</v>
      </c>
      <c r="H15" s="38">
        <f>Rekap!E88</f>
        <v>250000000</v>
      </c>
      <c r="I15" s="38">
        <f>Rekap!E176</f>
        <v>150000000</v>
      </c>
      <c r="J15" s="38"/>
      <c r="K15" s="38"/>
      <c r="L15" s="38"/>
      <c r="M15" s="38"/>
      <c r="N15" s="38">
        <f t="shared" ref="N15:N16" si="5">E15-F15-G15-H15-I15-J15-K15-L15-M15</f>
        <v>95175000</v>
      </c>
      <c r="O15" s="38"/>
      <c r="P15" s="60">
        <f>N15</f>
        <v>95175000</v>
      </c>
    </row>
    <row r="16" ht="16.5" customHeight="1">
      <c r="B16" s="51" t="s">
        <v>78</v>
      </c>
      <c r="C16" s="51" t="s">
        <v>79</v>
      </c>
      <c r="D16" s="49"/>
      <c r="E16" s="38">
        <f>405150000+16650000</f>
        <v>421800000</v>
      </c>
      <c r="F16" s="38">
        <f>Rekap!E18</f>
        <v>210900000</v>
      </c>
      <c r="G16" s="38">
        <f>Rekap!E129</f>
        <v>202575000</v>
      </c>
      <c r="H16" s="38"/>
      <c r="I16" s="38"/>
      <c r="J16" s="38"/>
      <c r="K16" s="38"/>
      <c r="L16" s="38"/>
      <c r="M16" s="38"/>
      <c r="N16" s="38">
        <f t="shared" si="5"/>
        <v>8325000</v>
      </c>
      <c r="O16" s="38"/>
    </row>
    <row r="17" ht="16.5" customHeight="1">
      <c r="B17" s="76" t="s">
        <v>82</v>
      </c>
      <c r="C17" s="77"/>
      <c r="D17" s="78"/>
      <c r="E17" s="79">
        <v>0.0</v>
      </c>
      <c r="F17" s="79">
        <v>0.0</v>
      </c>
      <c r="G17" s="79"/>
      <c r="H17" s="79"/>
      <c r="I17" s="79"/>
      <c r="J17" s="79"/>
      <c r="K17" s="79"/>
      <c r="L17" s="79"/>
      <c r="M17" s="79"/>
      <c r="N17" s="79"/>
      <c r="O17" s="79"/>
    </row>
    <row r="18" ht="16.5" customHeight="1">
      <c r="B18" s="25" t="s">
        <v>87</v>
      </c>
      <c r="C18" s="51" t="s">
        <v>88</v>
      </c>
      <c r="D18" s="49"/>
      <c r="E18" s="56">
        <v>8.357E8</v>
      </c>
      <c r="F18" s="80">
        <f>Rekap!E71</f>
        <v>487750000</v>
      </c>
      <c r="G18" s="80">
        <f>Rekap!E141</f>
        <v>438925000</v>
      </c>
      <c r="H18" s="80">
        <f>Rekap!E161</f>
        <v>250000000</v>
      </c>
      <c r="I18" s="80">
        <f>Rekap!E263</f>
        <v>100000000</v>
      </c>
      <c r="J18" s="80"/>
      <c r="K18" s="80"/>
      <c r="L18" s="80"/>
      <c r="M18" s="80"/>
      <c r="N18" s="80">
        <f>(E18+E19+E20+E21+E22)-F18:F22-G18:G22-H18:H22-I18:I22-J18-K18-L18-M18</f>
        <v>158925000</v>
      </c>
      <c r="O18" s="38"/>
      <c r="P18" s="60">
        <f>N18</f>
        <v>158925000</v>
      </c>
    </row>
    <row r="19" ht="16.5" customHeight="1">
      <c r="B19" s="54" t="s">
        <v>95</v>
      </c>
      <c r="C19" s="54" t="s">
        <v>88</v>
      </c>
      <c r="D19" s="49"/>
      <c r="E19" s="56">
        <v>3.026E8</v>
      </c>
      <c r="F19" s="81"/>
      <c r="G19" s="81"/>
      <c r="H19" s="81"/>
      <c r="I19" s="81"/>
      <c r="J19" s="81"/>
      <c r="K19" s="81"/>
      <c r="L19" s="81"/>
      <c r="M19" s="81"/>
      <c r="N19" s="81"/>
      <c r="O19" s="38"/>
    </row>
    <row r="20" ht="16.5" customHeight="1">
      <c r="B20" s="25" t="s">
        <v>99</v>
      </c>
      <c r="C20" s="54" t="s">
        <v>88</v>
      </c>
      <c r="D20" s="49"/>
      <c r="E20" s="56">
        <v>1.95E8</v>
      </c>
      <c r="F20" s="81"/>
      <c r="G20" s="81"/>
      <c r="H20" s="81"/>
      <c r="I20" s="81"/>
      <c r="J20" s="81"/>
      <c r="K20" s="81"/>
      <c r="L20" s="81"/>
      <c r="M20" s="81"/>
      <c r="N20" s="81"/>
      <c r="O20" s="38"/>
    </row>
    <row r="21" ht="16.5" customHeight="1">
      <c r="B21" s="25" t="s">
        <v>100</v>
      </c>
      <c r="C21" s="54" t="s">
        <v>88</v>
      </c>
      <c r="D21" s="49"/>
      <c r="E21" s="56">
        <f>13800000+6800000</f>
        <v>20600000</v>
      </c>
      <c r="F21" s="81"/>
      <c r="G21" s="81"/>
      <c r="H21" s="81"/>
      <c r="I21" s="81"/>
      <c r="J21" s="81"/>
      <c r="K21" s="81"/>
      <c r="L21" s="81"/>
      <c r="M21" s="81"/>
      <c r="N21" s="81"/>
      <c r="O21" s="38"/>
    </row>
    <row r="22" ht="16.5" customHeight="1">
      <c r="B22" s="25" t="s">
        <v>102</v>
      </c>
      <c r="C22" s="51" t="s">
        <v>88</v>
      </c>
      <c r="D22" s="49"/>
      <c r="E22" s="56">
        <v>8.17E7</v>
      </c>
      <c r="F22" s="83"/>
      <c r="G22" s="83"/>
      <c r="H22" s="83"/>
      <c r="I22" s="83"/>
      <c r="J22" s="83"/>
      <c r="K22" s="83"/>
      <c r="L22" s="83"/>
      <c r="M22" s="83"/>
      <c r="N22" s="83"/>
      <c r="O22" s="38"/>
    </row>
    <row r="23" ht="16.5" customHeight="1">
      <c r="B23" s="25" t="s">
        <v>106</v>
      </c>
      <c r="C23" s="54" t="s">
        <v>88</v>
      </c>
      <c r="D23" s="49"/>
      <c r="E23" s="56">
        <f>18700000+4600000</f>
        <v>23300000</v>
      </c>
      <c r="F23" s="38">
        <f>Rekap!E197</f>
        <v>18640000</v>
      </c>
      <c r="G23" s="38"/>
      <c r="H23" s="38"/>
      <c r="I23" s="38"/>
      <c r="J23" s="38"/>
      <c r="K23" s="38"/>
      <c r="L23" s="38"/>
      <c r="M23" s="38"/>
      <c r="N23" s="38">
        <f t="shared" ref="N23:N39" si="6">E23-F23-G23-H23-I23-J23-K23-L23-M23</f>
        <v>4660000</v>
      </c>
      <c r="O23" s="38"/>
      <c r="P23" s="60"/>
    </row>
    <row r="24" ht="16.5" customHeight="1">
      <c r="B24" s="25" t="s">
        <v>108</v>
      </c>
      <c r="C24" s="25" t="s">
        <v>88</v>
      </c>
      <c r="D24" s="49"/>
      <c r="E24" s="56">
        <f>55100000+13700000</f>
        <v>68800000</v>
      </c>
      <c r="F24" s="38">
        <f>Rekap!E232</f>
        <v>30960000</v>
      </c>
      <c r="G24" s="38"/>
      <c r="H24" s="38"/>
      <c r="I24" s="38"/>
      <c r="J24" s="38"/>
      <c r="K24" s="38"/>
      <c r="L24" s="38"/>
      <c r="M24" s="38"/>
      <c r="N24" s="38">
        <f t="shared" si="6"/>
        <v>37840000</v>
      </c>
      <c r="O24" s="38"/>
      <c r="P24" s="60"/>
    </row>
    <row r="25" ht="16.5" customHeight="1">
      <c r="B25" s="25" t="s">
        <v>112</v>
      </c>
      <c r="C25" s="51" t="s">
        <v>113</v>
      </c>
      <c r="D25" s="49"/>
      <c r="E25" s="56">
        <v>2.2145E8</v>
      </c>
      <c r="F25" s="38">
        <f>Rekap!E79</f>
        <v>95000000</v>
      </c>
      <c r="G25" s="38">
        <f>Rekap!E102</f>
        <v>30000000</v>
      </c>
      <c r="H25" s="38">
        <f>Rekap!E196</f>
        <v>57000000</v>
      </c>
      <c r="I25" s="38">
        <f>Rekap!E188</f>
        <v>1450000</v>
      </c>
      <c r="J25" s="38"/>
      <c r="K25" s="38"/>
      <c r="L25" s="38"/>
      <c r="M25" s="38"/>
      <c r="N25" s="38">
        <f t="shared" si="6"/>
        <v>38000000</v>
      </c>
      <c r="O25" s="38"/>
    </row>
    <row r="26" ht="16.5" customHeight="1">
      <c r="B26" s="25" t="s">
        <v>115</v>
      </c>
      <c r="C26" s="54" t="s">
        <v>116</v>
      </c>
      <c r="D26" s="49"/>
      <c r="E26" s="56">
        <v>1.4694125E8</v>
      </c>
      <c r="F26" s="38">
        <f>Rekap!E174</f>
        <v>73470625</v>
      </c>
      <c r="G26" s="38">
        <f>Rekap!E395</f>
        <v>7340000</v>
      </c>
      <c r="H26" s="38"/>
      <c r="I26" s="38"/>
      <c r="J26" s="38"/>
      <c r="K26" s="38"/>
      <c r="L26" s="38"/>
      <c r="M26" s="38"/>
      <c r="N26" s="38">
        <f t="shared" si="6"/>
        <v>66130625</v>
      </c>
      <c r="O26" s="38"/>
    </row>
    <row r="27" ht="16.5" customHeight="1">
      <c r="B27" s="25" t="s">
        <v>118</v>
      </c>
      <c r="C27" s="51" t="s">
        <v>119</v>
      </c>
      <c r="D27" s="49"/>
      <c r="E27" s="38">
        <v>1.6E8</v>
      </c>
      <c r="F27" s="38">
        <f>Rekap!E105</f>
        <v>80000000</v>
      </c>
      <c r="G27" s="38">
        <f>Rekap!E407</f>
        <v>64000000</v>
      </c>
      <c r="H27" s="38"/>
      <c r="I27" s="38"/>
      <c r="J27" s="38"/>
      <c r="K27" s="38"/>
      <c r="L27" s="38"/>
      <c r="M27" s="38"/>
      <c r="N27" s="38">
        <f t="shared" si="6"/>
        <v>16000000</v>
      </c>
      <c r="O27" s="38"/>
    </row>
    <row r="28" ht="16.5" customHeight="1">
      <c r="B28" s="51" t="s">
        <v>120</v>
      </c>
      <c r="C28" s="51"/>
      <c r="D28" s="49"/>
      <c r="E28" s="38"/>
      <c r="F28" s="38"/>
      <c r="G28" s="38"/>
      <c r="H28" s="38"/>
      <c r="I28" s="38"/>
      <c r="J28" s="38"/>
      <c r="K28" s="38"/>
      <c r="L28" s="38"/>
      <c r="M28" s="38"/>
      <c r="N28" s="38">
        <f t="shared" si="6"/>
        <v>0</v>
      </c>
      <c r="O28" s="38"/>
    </row>
    <row r="29" ht="16.5" customHeight="1">
      <c r="B29" s="25" t="s">
        <v>123</v>
      </c>
      <c r="C29" s="51"/>
      <c r="D29" s="49"/>
      <c r="E29" s="38">
        <v>1.8726E7</v>
      </c>
      <c r="F29" s="38">
        <f>Rekap!E80</f>
        <v>2500000</v>
      </c>
      <c r="G29" s="38">
        <f>Rekap!E100</f>
        <v>10302520</v>
      </c>
      <c r="H29" s="38"/>
      <c r="I29" s="38"/>
      <c r="J29" s="38"/>
      <c r="K29" s="38"/>
      <c r="L29" s="38"/>
      <c r="M29" s="38"/>
      <c r="N29" s="38">
        <f t="shared" si="6"/>
        <v>5923480</v>
      </c>
      <c r="O29" s="38"/>
    </row>
    <row r="30" ht="16.5" customHeight="1">
      <c r="B30" s="25" t="s">
        <v>126</v>
      </c>
      <c r="C30" s="51"/>
      <c r="D30" s="49"/>
      <c r="E30" s="52">
        <v>5.0E7</v>
      </c>
      <c r="F30" s="38">
        <f>Rekap!E189</f>
        <v>15000000</v>
      </c>
      <c r="G30" s="38">
        <f>Rekap!E368</f>
        <v>15170000</v>
      </c>
      <c r="H30" s="38"/>
      <c r="I30" s="38"/>
      <c r="J30" s="38"/>
      <c r="K30" s="38"/>
      <c r="L30" s="38"/>
      <c r="M30" s="38"/>
      <c r="N30" s="38">
        <f t="shared" si="6"/>
        <v>19830000</v>
      </c>
      <c r="O30" s="38"/>
    </row>
    <row r="31" ht="16.5" customHeight="1">
      <c r="B31" s="25" t="s">
        <v>127</v>
      </c>
      <c r="C31" s="25" t="s">
        <v>128</v>
      </c>
      <c r="D31" s="49"/>
      <c r="E31" s="56">
        <v>2.0E7</v>
      </c>
      <c r="F31" s="38">
        <f>Rekap!E198</f>
        <v>5000000</v>
      </c>
      <c r="G31" s="38">
        <f>Rekap!E224</f>
        <v>8000000</v>
      </c>
      <c r="H31" s="38"/>
      <c r="I31" s="38"/>
      <c r="J31" s="38"/>
      <c r="K31" s="38"/>
      <c r="L31" s="38"/>
      <c r="M31" s="38"/>
      <c r="N31" s="38">
        <f t="shared" si="6"/>
        <v>7000000</v>
      </c>
      <c r="O31" s="38"/>
    </row>
    <row r="32" ht="16.5" customHeight="1">
      <c r="B32" s="25" t="s">
        <v>130</v>
      </c>
      <c r="C32" s="25" t="s">
        <v>131</v>
      </c>
      <c r="D32" s="49"/>
      <c r="E32" s="52">
        <v>0.0</v>
      </c>
      <c r="F32" s="38">
        <f>Rekap!E314</f>
        <v>7000000</v>
      </c>
      <c r="G32" s="38">
        <f>Rekap!E398</f>
        <v>8300000</v>
      </c>
      <c r="H32" s="38"/>
      <c r="I32" s="38"/>
      <c r="J32" s="38"/>
      <c r="K32" s="38"/>
      <c r="L32" s="38"/>
      <c r="M32" s="38"/>
      <c r="N32" s="38">
        <f t="shared" si="6"/>
        <v>-15300000</v>
      </c>
      <c r="O32" s="38"/>
    </row>
    <row r="33" ht="16.5" customHeight="1">
      <c r="B33" s="25" t="s">
        <v>133</v>
      </c>
      <c r="C33" s="25" t="s">
        <v>134</v>
      </c>
      <c r="D33" s="49"/>
      <c r="E33" s="56">
        <v>1.275E7</v>
      </c>
      <c r="F33" s="38">
        <f>Rekap!E209</f>
        <v>6000000</v>
      </c>
      <c r="G33" s="38"/>
      <c r="H33" s="38"/>
      <c r="I33" s="38"/>
      <c r="J33" s="38"/>
      <c r="K33" s="38"/>
      <c r="L33" s="38"/>
      <c r="M33" s="38"/>
      <c r="N33" s="38">
        <f t="shared" si="6"/>
        <v>6750000</v>
      </c>
      <c r="O33" s="38"/>
    </row>
    <row r="34" ht="16.5" customHeight="1">
      <c r="B34" s="25" t="s">
        <v>135</v>
      </c>
      <c r="C34" s="51" t="s">
        <v>128</v>
      </c>
      <c r="D34" s="49"/>
      <c r="E34" s="56">
        <v>4.071E7</v>
      </c>
      <c r="F34" s="38">
        <f>Rekap!E86</f>
        <v>15000000</v>
      </c>
      <c r="G34" s="38">
        <f>Rekap!E135</f>
        <v>10000000</v>
      </c>
      <c r="H34" s="38">
        <f>Rekap!E148</f>
        <v>5000000</v>
      </c>
      <c r="I34" s="38">
        <f>Rekap!E147+ Rekap!E154</f>
        <v>6500000</v>
      </c>
      <c r="J34" s="38"/>
      <c r="K34" s="38"/>
      <c r="L34" s="38"/>
      <c r="M34" s="38"/>
      <c r="N34" s="38">
        <f t="shared" si="6"/>
        <v>4210000</v>
      </c>
      <c r="O34" s="38"/>
    </row>
    <row r="35" ht="16.5" customHeight="1">
      <c r="B35" s="25" t="s">
        <v>136</v>
      </c>
      <c r="C35" s="51" t="s">
        <v>128</v>
      </c>
      <c r="D35" s="49"/>
      <c r="E35" s="56">
        <v>3.93E7</v>
      </c>
      <c r="F35" s="38">
        <f>Rekap!E185</f>
        <v>10000000</v>
      </c>
      <c r="G35" s="38">
        <f>Rekap!E191</f>
        <v>6000000</v>
      </c>
      <c r="H35" s="38">
        <f>Rekap!E204</f>
        <v>10000000</v>
      </c>
      <c r="I35" s="38">
        <f>Rekap!E213</f>
        <v>7000000</v>
      </c>
      <c r="J35" s="38">
        <f>Rekap!E239</f>
        <v>5000000</v>
      </c>
      <c r="K35" s="38"/>
      <c r="L35" s="38"/>
      <c r="M35" s="38"/>
      <c r="N35" s="38">
        <f t="shared" si="6"/>
        <v>1300000</v>
      </c>
      <c r="O35" s="38"/>
    </row>
    <row r="36" ht="16.5" customHeight="1">
      <c r="B36" s="54" t="s">
        <v>137</v>
      </c>
      <c r="C36" s="54" t="s">
        <v>138</v>
      </c>
      <c r="D36" s="49"/>
      <c r="E36" s="56">
        <v>1.362E8</v>
      </c>
      <c r="F36" s="38">
        <f>Rekap!E166</f>
        <v>68100000</v>
      </c>
      <c r="G36" s="38">
        <f>Rekap!E330</f>
        <v>49032000</v>
      </c>
      <c r="H36" s="38">
        <f>Rekap!E391</f>
        <v>18048000</v>
      </c>
      <c r="I36" s="38"/>
      <c r="J36" s="38"/>
      <c r="K36" s="38"/>
      <c r="L36" s="38"/>
      <c r="M36" s="38"/>
      <c r="N36" s="38">
        <f t="shared" si="6"/>
        <v>1020000</v>
      </c>
      <c r="O36" s="38"/>
    </row>
    <row r="37" ht="16.5" customHeight="1">
      <c r="B37" s="51" t="s">
        <v>140</v>
      </c>
      <c r="C37" s="51" t="s">
        <v>134</v>
      </c>
      <c r="D37" s="49"/>
      <c r="E37" s="38">
        <v>2.9E7</v>
      </c>
      <c r="F37" s="38">
        <f>Rekap!E90</f>
        <v>15000000</v>
      </c>
      <c r="G37" s="38">
        <f>Rekap!E400</f>
        <v>2000000</v>
      </c>
      <c r="H37" s="38"/>
      <c r="I37" s="38"/>
      <c r="J37" s="38"/>
      <c r="K37" s="38"/>
      <c r="L37" s="38"/>
      <c r="M37" s="38"/>
      <c r="N37" s="38">
        <f t="shared" si="6"/>
        <v>12000000</v>
      </c>
      <c r="O37" s="38"/>
    </row>
    <row r="38" ht="16.5" customHeight="1">
      <c r="B38" s="25" t="s">
        <v>142</v>
      </c>
      <c r="C38" s="51" t="s">
        <v>134</v>
      </c>
      <c r="D38" s="49"/>
      <c r="E38" s="52">
        <v>8.545E7</v>
      </c>
      <c r="F38" s="38">
        <f>Rekap!E243</f>
        <v>40000000</v>
      </c>
      <c r="G38" s="38"/>
      <c r="H38" s="38"/>
      <c r="I38" s="38"/>
      <c r="J38" s="38"/>
      <c r="K38" s="38"/>
      <c r="L38" s="38"/>
      <c r="M38" s="38"/>
      <c r="N38" s="38">
        <f t="shared" si="6"/>
        <v>45450000</v>
      </c>
      <c r="O38" s="38"/>
    </row>
    <row r="39" ht="16.5" customHeight="1">
      <c r="B39" s="25" t="s">
        <v>144</v>
      </c>
      <c r="C39" s="51" t="s">
        <v>134</v>
      </c>
      <c r="D39" s="49"/>
      <c r="E39" s="52">
        <v>5.0E7</v>
      </c>
      <c r="F39" s="38">
        <f>Rekap!E305</f>
        <v>15000000</v>
      </c>
      <c r="G39" s="38">
        <f>Rekap!E390</f>
        <v>13875000</v>
      </c>
      <c r="H39" s="38"/>
      <c r="I39" s="38"/>
      <c r="J39" s="38"/>
      <c r="K39" s="38"/>
      <c r="L39" s="38"/>
      <c r="M39" s="38"/>
      <c r="N39" s="38">
        <f t="shared" si="6"/>
        <v>21125000</v>
      </c>
      <c r="O39" s="38"/>
    </row>
    <row r="40" ht="16.5" customHeight="1">
      <c r="B40" s="25" t="s">
        <v>145</v>
      </c>
      <c r="C40" s="25" t="s">
        <v>134</v>
      </c>
      <c r="D40" s="49"/>
      <c r="E40" s="52">
        <v>2.6235E7</v>
      </c>
      <c r="F40" s="38">
        <f>Rekap!E386</f>
        <v>26235000</v>
      </c>
      <c r="G40" s="38"/>
      <c r="H40" s="38"/>
      <c r="I40" s="38"/>
      <c r="J40" s="38"/>
      <c r="K40" s="38"/>
      <c r="L40" s="38"/>
      <c r="M40" s="38"/>
      <c r="N40" s="38"/>
      <c r="O40" s="38"/>
    </row>
    <row r="41" ht="16.5" customHeight="1">
      <c r="B41" s="25" t="s">
        <v>146</v>
      </c>
      <c r="C41" s="25" t="s">
        <v>75</v>
      </c>
      <c r="D41" s="49"/>
      <c r="E41" s="38">
        <v>4205000.0</v>
      </c>
      <c r="F41" s="38">
        <f>Rekap!E353</f>
        <v>4205000</v>
      </c>
      <c r="G41" s="38"/>
      <c r="H41" s="38"/>
      <c r="I41" s="38"/>
      <c r="J41" s="38"/>
      <c r="K41" s="38"/>
      <c r="L41" s="38"/>
      <c r="M41" s="38"/>
      <c r="N41" s="38"/>
      <c r="O41" s="38"/>
    </row>
    <row r="42" ht="16.5" customHeight="1">
      <c r="B42" s="51"/>
      <c r="C42" s="51"/>
      <c r="D42" s="49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</row>
    <row r="43" ht="16.5" customHeight="1">
      <c r="B43" s="99" t="s">
        <v>148</v>
      </c>
      <c r="C43" s="51"/>
      <c r="D43" s="49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87"/>
    </row>
    <row r="44" ht="16.5" customHeight="1">
      <c r="B44" s="102" t="s">
        <v>150</v>
      </c>
      <c r="C44" s="105" t="s">
        <v>151</v>
      </c>
      <c r="D44" s="106"/>
      <c r="E44" s="108">
        <v>4.409E8</v>
      </c>
      <c r="F44" s="108">
        <f>Rekap!E5</f>
        <v>82000000</v>
      </c>
      <c r="G44" s="108">
        <f>Rekap!E77</f>
        <v>358900000</v>
      </c>
      <c r="H44" s="108"/>
      <c r="I44" s="108"/>
      <c r="J44" s="108"/>
      <c r="K44" s="108"/>
      <c r="L44" s="108"/>
      <c r="M44" s="108"/>
      <c r="N44" s="108">
        <f>E44-F44-G44-H44-I44</f>
        <v>0</v>
      </c>
      <c r="O44" s="108"/>
    </row>
    <row r="45" ht="16.5" customHeight="1">
      <c r="B45" s="110" t="s">
        <v>114</v>
      </c>
      <c r="C45" s="111"/>
      <c r="D45" s="112"/>
      <c r="E45" s="113">
        <v>1.5963192E8</v>
      </c>
      <c r="F45" s="114">
        <f>Rekap!E75</f>
        <v>80000000</v>
      </c>
      <c r="G45" s="114">
        <f>Rekap!E96</f>
        <v>50000000</v>
      </c>
      <c r="H45" s="38">
        <f>Rekap!E179*10%</f>
        <v>10000000</v>
      </c>
      <c r="I45" s="38"/>
      <c r="J45" s="38"/>
      <c r="K45" s="38"/>
      <c r="L45" s="38"/>
      <c r="M45" s="38"/>
      <c r="N45" s="38">
        <f t="shared" ref="N45:N46" si="7">E45-F45-G45-H45-I45-J45-K45-L45-M45</f>
        <v>19631920</v>
      </c>
      <c r="O45" s="38"/>
      <c r="P45" s="60">
        <f t="shared" ref="P45:P46" si="8">N45</f>
        <v>19631920</v>
      </c>
    </row>
    <row r="46" ht="16.5" customHeight="1">
      <c r="B46" s="117" t="s">
        <v>153</v>
      </c>
      <c r="C46" s="111"/>
      <c r="D46" s="112"/>
      <c r="E46" s="113">
        <v>7704000.0</v>
      </c>
      <c r="F46" s="114"/>
      <c r="G46" s="114"/>
      <c r="H46" s="38"/>
      <c r="I46" s="38"/>
      <c r="J46" s="38"/>
      <c r="K46" s="38"/>
      <c r="L46" s="38"/>
      <c r="M46" s="38"/>
      <c r="N46" s="38">
        <f t="shared" si="7"/>
        <v>7704000</v>
      </c>
      <c r="O46" s="38"/>
      <c r="P46" s="60">
        <f t="shared" si="8"/>
        <v>7704000</v>
      </c>
    </row>
    <row r="47" ht="16.5" customHeight="1">
      <c r="B47" s="47" t="s">
        <v>154</v>
      </c>
      <c r="C47" s="119" t="s">
        <v>155</v>
      </c>
      <c r="D47" s="66"/>
      <c r="E47" s="46">
        <v>1.06E8</v>
      </c>
      <c r="F47" s="46">
        <f>Rekap!E87</f>
        <v>106000000</v>
      </c>
      <c r="G47" s="46"/>
      <c r="H47" s="46"/>
      <c r="I47" s="46"/>
      <c r="J47" s="46"/>
      <c r="K47" s="46"/>
      <c r="L47" s="46"/>
      <c r="M47" s="46"/>
      <c r="N47" s="46">
        <f>E47-F47-G47-H47-I47</f>
        <v>0</v>
      </c>
      <c r="O47" s="46"/>
    </row>
    <row r="48" ht="16.5" customHeight="1">
      <c r="B48" s="110" t="s">
        <v>114</v>
      </c>
      <c r="C48" s="111"/>
      <c r="D48" s="112"/>
      <c r="E48" s="113">
        <v>2.9865E7</v>
      </c>
      <c r="F48" s="114">
        <f>Rekap!E113</f>
        <v>15150000</v>
      </c>
      <c r="G48" s="114"/>
      <c r="H48" s="38"/>
      <c r="I48" s="38"/>
      <c r="J48" s="38"/>
      <c r="K48" s="38"/>
      <c r="L48" s="38"/>
      <c r="M48" s="38"/>
      <c r="N48" s="38">
        <f>E48-F48-G48-H48-I48-J48-K48-L48-M48</f>
        <v>14715000</v>
      </c>
      <c r="O48" s="38"/>
      <c r="P48" s="60">
        <f>N48</f>
        <v>14715000</v>
      </c>
    </row>
    <row r="49" ht="16.5" customHeight="1">
      <c r="B49" s="120" t="s">
        <v>157</v>
      </c>
      <c r="C49" s="119" t="s">
        <v>158</v>
      </c>
      <c r="D49" s="66"/>
      <c r="E49" s="46">
        <v>2.214E8</v>
      </c>
      <c r="F49" s="46">
        <f>Rekap!E94</f>
        <v>221400000</v>
      </c>
      <c r="G49" s="46"/>
      <c r="H49" s="46"/>
      <c r="I49" s="46"/>
      <c r="J49" s="46"/>
      <c r="K49" s="46"/>
      <c r="L49" s="46"/>
      <c r="M49" s="46"/>
      <c r="N49" s="46">
        <f>E49-F49-G49-H49-I49</f>
        <v>0</v>
      </c>
      <c r="O49" s="46"/>
    </row>
    <row r="50" ht="16.5" customHeight="1">
      <c r="B50" s="110" t="s">
        <v>114</v>
      </c>
      <c r="C50" s="111"/>
      <c r="D50" s="112"/>
      <c r="E50" s="113">
        <v>1.41293E8</v>
      </c>
      <c r="F50" s="114">
        <f>Rekap!E95</f>
        <v>65000000</v>
      </c>
      <c r="G50" s="38">
        <f>Rekap!E116</f>
        <v>15000000</v>
      </c>
      <c r="H50" s="38">
        <f>Rekap!E124</f>
        <v>40000000</v>
      </c>
      <c r="I50" s="38">
        <f>Rekap!E179*20%</f>
        <v>20000000</v>
      </c>
      <c r="J50" s="38"/>
      <c r="K50" s="38"/>
      <c r="L50" s="38"/>
      <c r="M50" s="38"/>
      <c r="N50" s="38">
        <f>E50-F50-G50-H50-I50-J50-K50-L50-M50</f>
        <v>1293000</v>
      </c>
      <c r="O50" s="38"/>
      <c r="P50" s="60">
        <f>N50</f>
        <v>1293000</v>
      </c>
    </row>
    <row r="51" ht="16.5" customHeight="1">
      <c r="B51" s="47" t="s">
        <v>160</v>
      </c>
      <c r="C51" s="119" t="s">
        <v>161</v>
      </c>
      <c r="D51" s="66"/>
      <c r="E51" s="46">
        <v>3.6E7</v>
      </c>
      <c r="F51" s="46">
        <f>Rekap!E89</f>
        <v>18000000</v>
      </c>
      <c r="G51" s="46">
        <f>Rekap!E92</f>
        <v>18000000</v>
      </c>
      <c r="H51" s="46"/>
      <c r="I51" s="46"/>
      <c r="J51" s="46"/>
      <c r="K51" s="46"/>
      <c r="L51" s="46"/>
      <c r="M51" s="46"/>
      <c r="N51" s="46">
        <f>E51-F51-G51-H51-I51</f>
        <v>0</v>
      </c>
      <c r="O51" s="46"/>
    </row>
    <row r="52" ht="16.5" customHeight="1">
      <c r="B52" s="51"/>
      <c r="C52" s="121"/>
      <c r="D52" s="49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</row>
    <row r="53" ht="16.5" customHeight="1">
      <c r="B53" s="99" t="s">
        <v>162</v>
      </c>
      <c r="C53" s="121"/>
      <c r="D53" s="49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</row>
    <row r="54" ht="16.5" customHeight="1">
      <c r="B54" s="47" t="s">
        <v>164</v>
      </c>
      <c r="C54" s="39" t="s">
        <v>165</v>
      </c>
      <c r="D54" s="66"/>
      <c r="E54" s="46">
        <v>1.29024E8</v>
      </c>
      <c r="F54" s="122">
        <f>Rekap!E34</f>
        <v>222781440</v>
      </c>
      <c r="G54" s="122">
        <f>Rekap!E127</f>
        <v>95477760</v>
      </c>
      <c r="H54" s="122"/>
      <c r="I54" s="122"/>
      <c r="J54" s="122"/>
      <c r="K54" s="122"/>
      <c r="L54" s="122"/>
      <c r="M54" s="122"/>
      <c r="N54" s="122">
        <f>SUM(E54:E57)-F54-G54:G57</f>
        <v>0</v>
      </c>
      <c r="O54" s="122"/>
    </row>
    <row r="55" ht="16.5" customHeight="1">
      <c r="B55" s="47" t="s">
        <v>167</v>
      </c>
      <c r="C55" s="39" t="s">
        <v>168</v>
      </c>
      <c r="D55" s="66"/>
      <c r="E55" s="46">
        <v>8.6016E7</v>
      </c>
      <c r="F55" s="81"/>
      <c r="G55" s="81"/>
      <c r="H55" s="81"/>
      <c r="I55" s="81"/>
      <c r="J55" s="81"/>
      <c r="K55" s="81"/>
      <c r="L55" s="81"/>
      <c r="M55" s="81"/>
      <c r="N55" s="81"/>
      <c r="O55" s="81"/>
    </row>
    <row r="56" ht="16.5" customHeight="1">
      <c r="B56" s="47" t="s">
        <v>170</v>
      </c>
      <c r="C56" s="39" t="s">
        <v>171</v>
      </c>
      <c r="D56" s="66"/>
      <c r="E56" s="46">
        <v>6.02112E7</v>
      </c>
      <c r="F56" s="81"/>
      <c r="G56" s="81"/>
      <c r="H56" s="81"/>
      <c r="I56" s="81"/>
      <c r="J56" s="81"/>
      <c r="K56" s="81"/>
      <c r="L56" s="81"/>
      <c r="M56" s="81"/>
      <c r="N56" s="81"/>
      <c r="O56" s="81"/>
    </row>
    <row r="57" ht="16.5" customHeight="1">
      <c r="B57" s="47" t="s">
        <v>172</v>
      </c>
      <c r="C57" s="39" t="s">
        <v>173</v>
      </c>
      <c r="D57" s="66"/>
      <c r="E57" s="46">
        <v>4.3008E7</v>
      </c>
      <c r="F57" s="83"/>
      <c r="G57" s="83"/>
      <c r="H57" s="83"/>
      <c r="I57" s="83"/>
      <c r="J57" s="83"/>
      <c r="K57" s="83"/>
      <c r="L57" s="83"/>
      <c r="M57" s="83"/>
      <c r="N57" s="83"/>
      <c r="O57" s="81"/>
    </row>
    <row r="58" ht="16.5" customHeight="1">
      <c r="B58" s="47" t="s">
        <v>174</v>
      </c>
      <c r="C58" s="39" t="s">
        <v>175</v>
      </c>
      <c r="D58" s="66"/>
      <c r="E58" s="46">
        <v>9.82654E7</v>
      </c>
      <c r="F58" s="124">
        <f>Rekap!E106</f>
        <v>78612320</v>
      </c>
      <c r="G58" s="124">
        <f>Rekap!E128</f>
        <v>19653080</v>
      </c>
      <c r="H58" s="46"/>
      <c r="I58" s="46"/>
      <c r="J58" s="46"/>
      <c r="K58" s="46"/>
      <c r="L58" s="46"/>
      <c r="M58" s="46"/>
      <c r="N58" s="46">
        <f>E58-F58-G58</f>
        <v>0</v>
      </c>
      <c r="O58" s="83"/>
    </row>
    <row r="59" ht="16.5" customHeight="1">
      <c r="B59" s="110" t="s">
        <v>114</v>
      </c>
      <c r="C59" s="110"/>
      <c r="D59" s="112"/>
      <c r="E59" s="114">
        <f>131425950+14544525 </f>
        <v>145970475</v>
      </c>
      <c r="F59" s="126">
        <f>Rekap!E103</f>
        <v>50000000</v>
      </c>
      <c r="G59" s="114">
        <f>Rekap!E115</f>
        <v>15000000</v>
      </c>
      <c r="H59" s="38">
        <f>Rekap!E123</f>
        <v>20000000</v>
      </c>
      <c r="I59" s="38">
        <f>Rekap!E132+Rekap!E136</f>
        <v>25000000</v>
      </c>
      <c r="J59" s="38">
        <f>Rekap!E158</f>
        <v>10000000</v>
      </c>
      <c r="K59" s="38">
        <f>Rekap!E173</f>
        <v>15000000</v>
      </c>
      <c r="L59" s="38">
        <f>Rekap!E219</f>
        <v>5000000</v>
      </c>
      <c r="M59" s="38"/>
      <c r="N59" s="38">
        <f>E59-F59-G59-H59-I59-J59-K59-L59-M59</f>
        <v>5970475</v>
      </c>
      <c r="O59" s="38"/>
      <c r="P59" s="60">
        <f>N59</f>
        <v>5970475</v>
      </c>
    </row>
    <row r="60" ht="16.5" customHeight="1">
      <c r="B60" s="36" t="s">
        <v>178</v>
      </c>
      <c r="C60" s="64" t="s">
        <v>179</v>
      </c>
      <c r="D60" s="66"/>
      <c r="E60" s="46">
        <v>2613800.0</v>
      </c>
      <c r="F60" s="124">
        <f>Rekap!E347</f>
        <v>2613800</v>
      </c>
      <c r="G60" s="124"/>
      <c r="H60" s="46"/>
      <c r="I60" s="46"/>
      <c r="J60" s="46"/>
      <c r="K60" s="46"/>
      <c r="L60" s="46"/>
      <c r="M60" s="46"/>
      <c r="N60" s="46">
        <f>E60-F60-G60</f>
        <v>0</v>
      </c>
      <c r="O60" s="38"/>
    </row>
    <row r="61" ht="16.5" customHeight="1">
      <c r="B61" s="51"/>
      <c r="C61" s="51"/>
      <c r="D61" s="59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 ht="16.5" customHeight="1">
      <c r="B62" s="99" t="s">
        <v>180</v>
      </c>
      <c r="C62" s="51"/>
      <c r="D62" s="59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 ht="16.5" customHeight="1">
      <c r="B63" s="47" t="s">
        <v>181</v>
      </c>
      <c r="C63" s="39" t="s">
        <v>182</v>
      </c>
      <c r="D63" s="132"/>
      <c r="E63" s="122">
        <v>4.2808704E8</v>
      </c>
      <c r="F63" s="122">
        <f>Rekap!E101</f>
        <v>433059840</v>
      </c>
      <c r="G63" s="122"/>
      <c r="H63" s="122"/>
      <c r="I63" s="122"/>
      <c r="J63" s="122"/>
      <c r="K63" s="122"/>
      <c r="L63" s="122"/>
      <c r="M63" s="122"/>
      <c r="N63" s="122">
        <f>(E63+E67)-F63</f>
        <v>0</v>
      </c>
      <c r="O63" s="122"/>
    </row>
    <row r="64" ht="16.5" customHeight="1">
      <c r="B64" s="47" t="s">
        <v>185</v>
      </c>
      <c r="C64" s="119" t="s">
        <v>186</v>
      </c>
      <c r="D64" s="132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</row>
    <row r="65" ht="16.5" customHeight="1">
      <c r="B65" s="47" t="s">
        <v>188</v>
      </c>
      <c r="C65" s="119" t="s">
        <v>189</v>
      </c>
      <c r="D65" s="132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</row>
    <row r="66" ht="16.5" customHeight="1">
      <c r="B66" s="47" t="s">
        <v>190</v>
      </c>
      <c r="C66" s="119" t="s">
        <v>191</v>
      </c>
      <c r="D66" s="132"/>
      <c r="E66" s="83"/>
      <c r="F66" s="81"/>
      <c r="G66" s="81"/>
      <c r="H66" s="81"/>
      <c r="I66" s="81"/>
      <c r="J66" s="81"/>
      <c r="K66" s="81"/>
      <c r="L66" s="81"/>
      <c r="M66" s="81"/>
      <c r="N66" s="81"/>
      <c r="O66" s="81"/>
    </row>
    <row r="67" ht="16.5" customHeight="1">
      <c r="B67" s="47" t="s">
        <v>192</v>
      </c>
      <c r="C67" s="119" t="s">
        <v>194</v>
      </c>
      <c r="D67" s="132"/>
      <c r="E67" s="46">
        <v>4972800.0</v>
      </c>
      <c r="F67" s="83"/>
      <c r="G67" s="83"/>
      <c r="H67" s="83"/>
      <c r="I67" s="83"/>
      <c r="J67" s="83"/>
      <c r="K67" s="83"/>
      <c r="L67" s="83"/>
      <c r="M67" s="83"/>
      <c r="N67" s="83"/>
      <c r="O67" s="83"/>
    </row>
    <row r="68" ht="16.5" customHeight="1">
      <c r="B68" s="110" t="s">
        <v>114</v>
      </c>
      <c r="C68" s="111"/>
      <c r="D68" s="112"/>
      <c r="E68" s="113">
        <v>2.603945E8</v>
      </c>
      <c r="F68" s="114">
        <f>Rekap!E109</f>
        <v>70000000</v>
      </c>
      <c r="G68" s="114">
        <f>Rekap!E125</f>
        <v>40000000</v>
      </c>
      <c r="H68" s="114">
        <f>Rekap!E131</f>
        <v>60000000</v>
      </c>
      <c r="I68" s="38">
        <f>Rekap!E146</f>
        <v>30000000</v>
      </c>
      <c r="J68" s="38">
        <f>Rekap!E172</f>
        <v>20000000</v>
      </c>
      <c r="K68" s="38">
        <f>Rekap!E187</f>
        <v>10000000</v>
      </c>
      <c r="L68" s="38">
        <f>Rekap!E220</f>
        <v>15000000</v>
      </c>
      <c r="M68" s="38"/>
      <c r="N68" s="38">
        <f t="shared" ref="N68:N73" si="9">E68-F68-G68-H68-I68-J68-K68-L68-M68</f>
        <v>15394500</v>
      </c>
      <c r="O68" s="38"/>
      <c r="P68" s="60">
        <f>N68</f>
        <v>15394500</v>
      </c>
    </row>
    <row r="69" ht="16.5" customHeight="1">
      <c r="B69" s="51"/>
      <c r="C69" s="121"/>
      <c r="D69" s="59"/>
      <c r="E69" s="38"/>
      <c r="F69" s="38"/>
      <c r="G69" s="38"/>
      <c r="H69" s="38"/>
      <c r="I69" s="38"/>
      <c r="J69" s="38"/>
      <c r="K69" s="38"/>
      <c r="L69" s="38"/>
      <c r="M69" s="38"/>
      <c r="N69" s="38">
        <f t="shared" si="9"/>
        <v>0</v>
      </c>
      <c r="O69" s="38"/>
    </row>
    <row r="70" ht="16.5" customHeight="1">
      <c r="B70" s="134" t="s">
        <v>148</v>
      </c>
      <c r="C70" s="51"/>
      <c r="D70" s="49"/>
      <c r="E70" s="38"/>
      <c r="F70" s="38"/>
      <c r="G70" s="38"/>
      <c r="H70" s="38"/>
      <c r="I70" s="38"/>
      <c r="J70" s="38"/>
      <c r="K70" s="38"/>
      <c r="L70" s="38"/>
      <c r="M70" s="38"/>
      <c r="N70" s="38">
        <f t="shared" si="9"/>
        <v>0</v>
      </c>
      <c r="O70" s="87"/>
    </row>
    <row r="71" ht="16.5" customHeight="1">
      <c r="B71" s="51" t="s">
        <v>197</v>
      </c>
      <c r="C71" s="121" t="s">
        <v>198</v>
      </c>
      <c r="D71" s="49"/>
      <c r="E71" s="38">
        <v>5.751243E7</v>
      </c>
      <c r="F71" s="135">
        <f>Rekap!E107</f>
        <v>57512430</v>
      </c>
      <c r="G71" s="38"/>
      <c r="H71" s="38"/>
      <c r="I71" s="38"/>
      <c r="J71" s="38"/>
      <c r="K71" s="38"/>
      <c r="L71" s="38"/>
      <c r="M71" s="38"/>
      <c r="N71" s="38">
        <f t="shared" si="9"/>
        <v>0</v>
      </c>
      <c r="O71" s="38"/>
    </row>
    <row r="72" ht="16.5" customHeight="1">
      <c r="B72" s="110" t="s">
        <v>200</v>
      </c>
      <c r="C72" s="111"/>
      <c r="D72" s="112"/>
      <c r="E72" s="114">
        <v>0.0</v>
      </c>
      <c r="F72" s="114">
        <v>0.0</v>
      </c>
      <c r="G72" s="114"/>
      <c r="H72" s="38"/>
      <c r="I72" s="38"/>
      <c r="J72" s="38"/>
      <c r="K72" s="38"/>
      <c r="L72" s="38"/>
      <c r="M72" s="38"/>
      <c r="N72" s="38">
        <f t="shared" si="9"/>
        <v>0</v>
      </c>
      <c r="O72" s="38"/>
    </row>
    <row r="73" ht="16.5" customHeight="1">
      <c r="B73" s="110" t="s">
        <v>114</v>
      </c>
      <c r="C73" s="111"/>
      <c r="D73" s="112"/>
      <c r="E73" s="114"/>
      <c r="F73" s="114"/>
      <c r="G73" s="114"/>
      <c r="H73" s="38"/>
      <c r="I73" s="38"/>
      <c r="J73" s="38"/>
      <c r="K73" s="38"/>
      <c r="L73" s="38"/>
      <c r="M73" s="38"/>
      <c r="N73" s="38">
        <f t="shared" si="9"/>
        <v>0</v>
      </c>
      <c r="O73" s="38"/>
    </row>
    <row r="74" ht="16.5" customHeight="1">
      <c r="B74" s="47" t="s">
        <v>203</v>
      </c>
      <c r="C74" s="119" t="s">
        <v>204</v>
      </c>
      <c r="D74" s="66"/>
      <c r="E74" s="136">
        <f>245400000+76200000</f>
        <v>321600000</v>
      </c>
      <c r="F74" s="46">
        <f>Rekap!E137</f>
        <v>150372000</v>
      </c>
      <c r="G74" s="46">
        <f>Rekap!E144</f>
        <v>95028000</v>
      </c>
      <c r="H74" s="136">
        <f>Rekap!E155</f>
        <v>76200000</v>
      </c>
      <c r="I74" s="46"/>
      <c r="J74" s="46"/>
      <c r="K74" s="46"/>
      <c r="L74" s="46"/>
      <c r="M74" s="46"/>
      <c r="N74" s="46">
        <f>E74-F74-G74-H74</f>
        <v>0</v>
      </c>
      <c r="O74" s="46"/>
    </row>
    <row r="75" ht="16.5" customHeight="1">
      <c r="B75" s="110" t="s">
        <v>114</v>
      </c>
      <c r="C75" s="111"/>
      <c r="D75" s="112"/>
      <c r="E75" s="113">
        <v>1.4028871E8</v>
      </c>
      <c r="F75" s="38">
        <f>Rekap!E145</f>
        <v>45000000</v>
      </c>
      <c r="G75" s="38">
        <f>Rekap!E179*70%</f>
        <v>70000000</v>
      </c>
      <c r="H75" s="38"/>
      <c r="I75" s="38"/>
      <c r="J75" s="38"/>
      <c r="K75" s="38"/>
      <c r="L75" s="38"/>
      <c r="M75" s="38"/>
      <c r="N75" s="38">
        <f>E75-F75-G75-H75-I75-J75-K75-L75-M75</f>
        <v>25288710</v>
      </c>
      <c r="O75" s="38"/>
      <c r="P75" s="60">
        <f t="shared" ref="P75:P78" si="10">N75</f>
        <v>25288710</v>
      </c>
    </row>
    <row r="76" ht="16.5" customHeight="1">
      <c r="B76" s="120" t="s">
        <v>206</v>
      </c>
      <c r="C76" s="138" t="s">
        <v>208</v>
      </c>
      <c r="D76" s="66"/>
      <c r="E76" s="136">
        <v>7.191828E7</v>
      </c>
      <c r="F76" s="46">
        <f>Rekap!E157</f>
        <v>71918280</v>
      </c>
      <c r="G76" s="46"/>
      <c r="H76" s="46"/>
      <c r="I76" s="46"/>
      <c r="J76" s="46"/>
      <c r="K76" s="46"/>
      <c r="L76" s="46"/>
      <c r="M76" s="46"/>
      <c r="N76" s="46">
        <f>E76-F76-G76</f>
        <v>0</v>
      </c>
      <c r="O76" s="46"/>
      <c r="P76" s="60">
        <f t="shared" si="10"/>
        <v>0</v>
      </c>
    </row>
    <row r="77" ht="16.5" customHeight="1">
      <c r="B77" s="110" t="s">
        <v>114</v>
      </c>
      <c r="C77" s="111"/>
      <c r="D77" s="112"/>
      <c r="E77" s="113">
        <v>4.904625E7</v>
      </c>
      <c r="F77" s="38"/>
      <c r="G77" s="114"/>
      <c r="H77" s="38"/>
      <c r="I77" s="38"/>
      <c r="J77" s="38"/>
      <c r="K77" s="38"/>
      <c r="L77" s="38"/>
      <c r="M77" s="38"/>
      <c r="N77" s="38">
        <f t="shared" ref="N77:N78" si="11">E77-F77-G77-H77-I77-J77-K77-L77-M77</f>
        <v>49046250</v>
      </c>
      <c r="O77" s="38"/>
      <c r="P77" s="60">
        <f t="shared" si="10"/>
        <v>49046250</v>
      </c>
    </row>
    <row r="78" ht="16.5" customHeight="1">
      <c r="B78" s="117" t="s">
        <v>211</v>
      </c>
      <c r="C78" s="111"/>
      <c r="D78" s="112"/>
      <c r="E78" s="113">
        <v>2.16E7</v>
      </c>
      <c r="F78" s="38"/>
      <c r="G78" s="114"/>
      <c r="H78" s="38"/>
      <c r="I78" s="38"/>
      <c r="J78" s="38"/>
      <c r="K78" s="38"/>
      <c r="L78" s="38"/>
      <c r="M78" s="38"/>
      <c r="N78" s="38">
        <f t="shared" si="11"/>
        <v>21600000</v>
      </c>
      <c r="O78" s="38"/>
      <c r="P78" s="60">
        <f t="shared" si="10"/>
        <v>21600000</v>
      </c>
    </row>
    <row r="79" ht="16.5" customHeight="1">
      <c r="B79" s="51"/>
      <c r="C79" s="51"/>
      <c r="D79" s="59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 ht="16.5" customHeight="1">
      <c r="B80" s="99" t="s">
        <v>148</v>
      </c>
      <c r="C80" s="51"/>
      <c r="D80" s="49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87"/>
    </row>
    <row r="81" ht="16.5" customHeight="1">
      <c r="B81" s="102" t="s">
        <v>214</v>
      </c>
      <c r="C81" s="139" t="s">
        <v>216</v>
      </c>
      <c r="D81" s="106"/>
      <c r="E81" s="140">
        <v>8.959368E7</v>
      </c>
      <c r="F81" s="108">
        <f>Rekap!E288</f>
        <v>89593680</v>
      </c>
      <c r="G81" s="108"/>
      <c r="H81" s="108"/>
      <c r="I81" s="108"/>
      <c r="J81" s="108"/>
      <c r="K81" s="108"/>
      <c r="L81" s="108"/>
      <c r="M81" s="108"/>
      <c r="N81" s="108">
        <f t="shared" ref="N81:N82" si="12">E81-F81-G81-H81-I81</f>
        <v>0</v>
      </c>
      <c r="O81" s="108"/>
    </row>
    <row r="82" ht="16.5" customHeight="1">
      <c r="B82" s="110" t="s">
        <v>114</v>
      </c>
      <c r="C82" s="111"/>
      <c r="D82" s="112"/>
      <c r="E82" s="113"/>
      <c r="F82" s="114">
        <f>Rekap!E369</f>
        <v>40000000</v>
      </c>
      <c r="G82" s="114">
        <f>Rekap!E417</f>
        <v>20000000</v>
      </c>
      <c r="H82" s="38"/>
      <c r="I82" s="38"/>
      <c r="J82" s="38"/>
      <c r="K82" s="38"/>
      <c r="L82" s="38"/>
      <c r="M82" s="38"/>
      <c r="N82" s="38">
        <f t="shared" si="12"/>
        <v>-60000000</v>
      </c>
      <c r="O82" s="38"/>
    </row>
    <row r="83" ht="16.5" customHeight="1">
      <c r="B83" s="51"/>
      <c r="C83" s="51"/>
      <c r="D83" s="59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 ht="16.5" customHeight="1">
      <c r="B84" s="134" t="s">
        <v>220</v>
      </c>
      <c r="C84" s="51"/>
      <c r="D84" s="49"/>
      <c r="E84" s="38"/>
      <c r="F84" s="38"/>
      <c r="G84" s="38"/>
      <c r="H84" s="38"/>
      <c r="I84" s="38"/>
      <c r="J84" s="38"/>
      <c r="K84" s="38"/>
      <c r="L84" s="38"/>
      <c r="M84" s="38"/>
      <c r="N84" s="87"/>
      <c r="O84" s="87"/>
    </row>
    <row r="85" ht="16.5" customHeight="1">
      <c r="B85" s="54" t="s">
        <v>221</v>
      </c>
      <c r="C85" s="121"/>
      <c r="D85" s="49"/>
      <c r="E85" s="56">
        <v>1.2E7</v>
      </c>
      <c r="F85" s="38">
        <f>Rekap!E200</f>
        <v>2000000</v>
      </c>
      <c r="G85" s="38">
        <f>Rekap!E201</f>
        <v>5000000</v>
      </c>
      <c r="H85" s="38">
        <f>Rekap!E202</f>
        <v>1000000</v>
      </c>
      <c r="I85" s="38"/>
      <c r="J85" s="38"/>
      <c r="K85" s="38"/>
      <c r="L85" s="38"/>
      <c r="M85" s="38"/>
      <c r="N85" s="38">
        <f>E85-F85-G85-H85-I85-J85-K85-L85-M85</f>
        <v>4000000</v>
      </c>
      <c r="O85" s="38"/>
    </row>
    <row r="86" ht="16.5" customHeight="1">
      <c r="B86" s="117" t="s">
        <v>223</v>
      </c>
      <c r="C86" s="111"/>
      <c r="D86" s="112"/>
      <c r="E86" s="114"/>
      <c r="F86" s="114"/>
      <c r="G86" s="114"/>
      <c r="H86" s="38"/>
      <c r="I86" s="38"/>
      <c r="J86" s="38"/>
      <c r="K86" s="38"/>
      <c r="L86" s="38"/>
      <c r="M86" s="38"/>
      <c r="N86" s="38"/>
      <c r="O86" s="38"/>
    </row>
    <row r="87" ht="16.5" customHeight="1">
      <c r="B87" s="117" t="s">
        <v>224</v>
      </c>
      <c r="C87" s="111"/>
      <c r="D87" s="112"/>
      <c r="E87" s="114"/>
      <c r="F87" s="114"/>
      <c r="G87" s="114"/>
      <c r="H87" s="38"/>
      <c r="I87" s="38"/>
      <c r="J87" s="38"/>
      <c r="K87" s="38"/>
      <c r="L87" s="38"/>
      <c r="M87" s="38"/>
      <c r="N87" s="38"/>
      <c r="O87" s="38"/>
    </row>
    <row r="88" ht="16.5" customHeight="1">
      <c r="B88" s="134"/>
      <c r="C88" s="51"/>
      <c r="D88" s="49"/>
      <c r="E88" s="38"/>
      <c r="F88" s="38"/>
      <c r="G88" s="38"/>
      <c r="H88" s="38"/>
      <c r="I88" s="38"/>
      <c r="J88" s="38"/>
      <c r="K88" s="38"/>
      <c r="L88" s="38"/>
      <c r="M88" s="38"/>
      <c r="N88" s="87"/>
      <c r="O88" s="87"/>
    </row>
    <row r="89" ht="16.5" customHeight="1">
      <c r="B89" s="134" t="s">
        <v>226</v>
      </c>
      <c r="C89" s="51"/>
      <c r="D89" s="49"/>
      <c r="E89" s="38"/>
      <c r="F89" s="38"/>
      <c r="G89" s="38"/>
      <c r="H89" s="38"/>
      <c r="I89" s="38"/>
      <c r="J89" s="38"/>
      <c r="K89" s="38"/>
      <c r="L89" s="38"/>
      <c r="M89" s="38"/>
      <c r="N89" s="87"/>
      <c r="O89" s="87"/>
    </row>
    <row r="90" ht="16.5" customHeight="1">
      <c r="B90" s="120" t="s">
        <v>228</v>
      </c>
      <c r="C90" s="138" t="s">
        <v>229</v>
      </c>
      <c r="D90" s="66"/>
      <c r="E90" s="136">
        <v>4.501E7</v>
      </c>
      <c r="F90" s="46">
        <f>Rekap!E138</f>
        <v>45010000</v>
      </c>
      <c r="G90" s="46"/>
      <c r="H90" s="46"/>
      <c r="I90" s="46"/>
      <c r="J90" s="46"/>
      <c r="K90" s="46"/>
      <c r="L90" s="46"/>
      <c r="M90" s="46"/>
      <c r="N90" s="46">
        <f>E90-F90-G90</f>
        <v>0</v>
      </c>
      <c r="O90" s="46"/>
    </row>
    <row r="91" ht="16.5" customHeight="1">
      <c r="B91" s="110" t="s">
        <v>114</v>
      </c>
      <c r="C91" s="111"/>
      <c r="D91" s="112"/>
      <c r="E91" s="114"/>
      <c r="F91" s="114"/>
      <c r="G91" s="114"/>
      <c r="H91" s="38"/>
      <c r="I91" s="38"/>
      <c r="J91" s="38"/>
      <c r="K91" s="38"/>
      <c r="L91" s="38"/>
      <c r="M91" s="38"/>
      <c r="N91" s="38"/>
      <c r="O91" s="38"/>
    </row>
    <row r="92" ht="16.5" customHeight="1">
      <c r="B92" s="120" t="s">
        <v>232</v>
      </c>
      <c r="C92" s="138" t="s">
        <v>229</v>
      </c>
      <c r="D92" s="66"/>
      <c r="E92" s="136">
        <v>3298000.0</v>
      </c>
      <c r="F92" s="46">
        <f>Rekap!E153</f>
        <v>3298000</v>
      </c>
      <c r="G92" s="46"/>
      <c r="H92" s="46"/>
      <c r="I92" s="46"/>
      <c r="J92" s="46"/>
      <c r="K92" s="46"/>
      <c r="L92" s="46"/>
      <c r="M92" s="46"/>
      <c r="N92" s="46">
        <f t="shared" ref="N92:N94" si="13">E92-F92-G92</f>
        <v>0</v>
      </c>
      <c r="O92" s="46"/>
    </row>
    <row r="93" ht="16.5" customHeight="1">
      <c r="B93" s="120" t="s">
        <v>233</v>
      </c>
      <c r="C93" s="138" t="s">
        <v>229</v>
      </c>
      <c r="D93" s="66"/>
      <c r="E93" s="136">
        <v>9.9903E7</v>
      </c>
      <c r="F93" s="46">
        <f>Rekap!E164</f>
        <v>99903000</v>
      </c>
      <c r="G93" s="46"/>
      <c r="H93" s="46"/>
      <c r="I93" s="46"/>
      <c r="J93" s="46"/>
      <c r="K93" s="46"/>
      <c r="L93" s="46"/>
      <c r="M93" s="46"/>
      <c r="N93" s="46">
        <f t="shared" si="13"/>
        <v>0</v>
      </c>
      <c r="O93" s="46"/>
    </row>
    <row r="94" ht="16.5" customHeight="1">
      <c r="B94" s="120" t="s">
        <v>235</v>
      </c>
      <c r="C94" s="138" t="s">
        <v>229</v>
      </c>
      <c r="D94" s="66"/>
      <c r="E94" s="136">
        <v>1.1165232E7</v>
      </c>
      <c r="F94" s="46">
        <f>Rekap!E163</f>
        <v>11165232</v>
      </c>
      <c r="G94" s="155"/>
      <c r="H94" s="46"/>
      <c r="I94" s="46"/>
      <c r="J94" s="46"/>
      <c r="K94" s="46"/>
      <c r="L94" s="46"/>
      <c r="M94" s="46"/>
      <c r="N94" s="46">
        <f t="shared" si="13"/>
        <v>0</v>
      </c>
      <c r="O94" s="46"/>
    </row>
    <row r="95" ht="16.5" customHeight="1">
      <c r="B95" s="110" t="s">
        <v>114</v>
      </c>
      <c r="C95" s="111"/>
      <c r="D95" s="112"/>
      <c r="E95" s="113">
        <v>5.0E7</v>
      </c>
      <c r="F95" s="114">
        <f>Rekap!E193</f>
        <v>4000000</v>
      </c>
      <c r="G95" s="114">
        <f>Rekap!E221+Rekap!E222</f>
        <v>4090000</v>
      </c>
      <c r="H95" s="38">
        <f>Rekap!E225+Rekap!E227+Rekap!E231+Rekap!E236+Rekap!E238+Rekap!E246</f>
        <v>23910000</v>
      </c>
      <c r="I95" s="38">
        <f>Rekap!E256</f>
        <v>1000000</v>
      </c>
      <c r="J95" s="38">
        <f>Rekap!E265+Rekap!E264</f>
        <v>8510000</v>
      </c>
      <c r="K95" s="38">
        <f>Rekap!E300+Rekap!E299</f>
        <v>7040000</v>
      </c>
      <c r="L95" s="38"/>
      <c r="M95" s="38"/>
      <c r="N95" s="38">
        <f>E95-F95-G95-H95-I95-J95-K95-L95-M95</f>
        <v>1450000</v>
      </c>
      <c r="O95" s="38"/>
    </row>
    <row r="96" ht="16.5" customHeight="1">
      <c r="B96" s="120" t="s">
        <v>237</v>
      </c>
      <c r="C96" s="69" t="s">
        <v>229</v>
      </c>
      <c r="D96" s="132"/>
      <c r="E96" s="136">
        <v>1905000.0</v>
      </c>
      <c r="F96" s="46">
        <f>Rekap!E205</f>
        <v>1905000</v>
      </c>
      <c r="G96" s="46"/>
      <c r="H96" s="46"/>
      <c r="I96" s="46"/>
      <c r="J96" s="46"/>
      <c r="K96" s="46"/>
      <c r="L96" s="46"/>
      <c r="M96" s="46"/>
      <c r="N96" s="46">
        <f t="shared" ref="N96:N99" si="14">E96-F96-G96</f>
        <v>0</v>
      </c>
      <c r="O96" s="46"/>
    </row>
    <row r="97" ht="16.5" customHeight="1">
      <c r="B97" s="120" t="s">
        <v>237</v>
      </c>
      <c r="C97" s="69" t="s">
        <v>229</v>
      </c>
      <c r="D97" s="132"/>
      <c r="E97" s="164">
        <v>3393000.0</v>
      </c>
      <c r="F97" s="46">
        <f>Rekap!E212</f>
        <v>3393000</v>
      </c>
      <c r="G97" s="46"/>
      <c r="H97" s="46"/>
      <c r="I97" s="46"/>
      <c r="J97" s="46"/>
      <c r="K97" s="46"/>
      <c r="L97" s="46"/>
      <c r="M97" s="46"/>
      <c r="N97" s="46">
        <f t="shared" si="14"/>
        <v>0</v>
      </c>
      <c r="O97" s="46"/>
    </row>
    <row r="98" ht="16.5" customHeight="1">
      <c r="B98" s="36" t="s">
        <v>242</v>
      </c>
      <c r="C98" s="69" t="s">
        <v>229</v>
      </c>
      <c r="D98" s="132"/>
      <c r="E98" s="168">
        <v>9720660.0</v>
      </c>
      <c r="F98" s="46">
        <f>Rekap!E244+Rekap!E245</f>
        <v>9720660</v>
      </c>
      <c r="G98" s="46"/>
      <c r="H98" s="46"/>
      <c r="I98" s="46"/>
      <c r="J98" s="46"/>
      <c r="K98" s="46"/>
      <c r="L98" s="46"/>
      <c r="M98" s="46"/>
      <c r="N98" s="46">
        <f t="shared" si="14"/>
        <v>0</v>
      </c>
      <c r="O98" s="46"/>
    </row>
    <row r="99" ht="16.5" customHeight="1">
      <c r="B99" s="36" t="s">
        <v>243</v>
      </c>
      <c r="C99" s="138" t="s">
        <v>229</v>
      </c>
      <c r="D99" s="66"/>
      <c r="E99" s="68">
        <v>5730000.0</v>
      </c>
      <c r="F99" s="46">
        <f>Rekap!E310</f>
        <v>5730000</v>
      </c>
      <c r="G99" s="155"/>
      <c r="H99" s="46"/>
      <c r="I99" s="46"/>
      <c r="J99" s="46"/>
      <c r="K99" s="46"/>
      <c r="L99" s="46"/>
      <c r="M99" s="46"/>
      <c r="N99" s="46">
        <f t="shared" si="14"/>
        <v>0</v>
      </c>
      <c r="O99" s="46"/>
    </row>
    <row r="100" ht="16.5" customHeight="1">
      <c r="B100" s="110" t="s">
        <v>114</v>
      </c>
      <c r="C100" s="111"/>
      <c r="D100" s="112"/>
      <c r="E100" s="170">
        <v>5.0E7</v>
      </c>
      <c r="F100" s="114"/>
      <c r="G100" s="114">
        <f>Rekap!E317+Rekap!E319+Rekap!E324+Rekap!E325+Rekap!E326+Rekap!E312</f>
        <v>9693744</v>
      </c>
      <c r="H100" s="38">
        <f>Rekap!E332</f>
        <v>5740000</v>
      </c>
      <c r="I100" s="38">
        <f>Rekap!E344</f>
        <v>6250000</v>
      </c>
      <c r="J100" s="38"/>
      <c r="K100" s="38"/>
      <c r="L100" s="38"/>
      <c r="M100" s="38"/>
      <c r="N100" s="38">
        <f>E100-F100-G100-H100-I100-J100-K100-L100-M100</f>
        <v>28316256</v>
      </c>
      <c r="O100" s="38"/>
      <c r="P100" s="60">
        <f>N100</f>
        <v>28316256</v>
      </c>
    </row>
    <row r="101" ht="16.5" customHeight="1">
      <c r="B101" s="51"/>
      <c r="C101" s="51"/>
      <c r="D101" s="59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 ht="16.5" customHeight="1">
      <c r="B102" s="51"/>
      <c r="C102" s="51"/>
      <c r="D102" s="59"/>
      <c r="E102" s="74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 ht="16.5" customHeight="1">
      <c r="B103" s="134" t="s">
        <v>249</v>
      </c>
      <c r="C103" s="51"/>
      <c r="D103" s="49"/>
      <c r="E103" s="38"/>
      <c r="F103" s="38"/>
      <c r="G103" s="38"/>
      <c r="H103" s="38"/>
      <c r="I103" s="38"/>
      <c r="J103" s="38"/>
      <c r="K103" s="38"/>
      <c r="L103" s="38"/>
      <c r="M103" s="38"/>
      <c r="N103" s="87"/>
      <c r="O103" s="87"/>
    </row>
    <row r="104" ht="16.5" customHeight="1">
      <c r="B104" s="120" t="s">
        <v>251</v>
      </c>
      <c r="C104" s="138" t="s">
        <v>252</v>
      </c>
      <c r="D104" s="66"/>
      <c r="E104" s="173">
        <v>3.583548E7</v>
      </c>
      <c r="F104" s="46">
        <f>Rekap!E217</f>
        <v>35478000</v>
      </c>
      <c r="G104" s="46">
        <f>Rekap!E278</f>
        <v>357480</v>
      </c>
      <c r="H104" s="46"/>
      <c r="I104" s="46"/>
      <c r="J104" s="46"/>
      <c r="K104" s="46"/>
      <c r="L104" s="46"/>
      <c r="M104" s="46"/>
      <c r="N104" s="46">
        <f t="shared" ref="N104:N105" si="15">E104-F104-G104</f>
        <v>0</v>
      </c>
      <c r="O104" s="46"/>
    </row>
    <row r="105" ht="16.5" customHeight="1">
      <c r="B105" s="36" t="s">
        <v>255</v>
      </c>
      <c r="C105" s="138" t="s">
        <v>252</v>
      </c>
      <c r="D105" s="66"/>
      <c r="E105" s="173">
        <v>7848360.0</v>
      </c>
      <c r="F105" s="46">
        <f>Rekap!E277</f>
        <v>7848360</v>
      </c>
      <c r="G105" s="46"/>
      <c r="H105" s="46"/>
      <c r="I105" s="46"/>
      <c r="J105" s="46"/>
      <c r="K105" s="46"/>
      <c r="L105" s="46"/>
      <c r="M105" s="46"/>
      <c r="N105" s="46">
        <f t="shared" si="15"/>
        <v>0</v>
      </c>
      <c r="O105" s="38"/>
    </row>
    <row r="106" ht="16.5" customHeight="1">
      <c r="B106" s="110" t="s">
        <v>114</v>
      </c>
      <c r="C106" s="111"/>
      <c r="D106" s="112"/>
      <c r="E106" s="114"/>
      <c r="F106" s="114">
        <f>Rekap!E321</f>
        <v>10000000</v>
      </c>
      <c r="G106" s="114"/>
      <c r="H106" s="38"/>
      <c r="I106" s="38"/>
      <c r="J106" s="38"/>
      <c r="K106" s="38"/>
      <c r="L106" s="38"/>
      <c r="M106" s="38"/>
      <c r="N106" s="38"/>
      <c r="O106" s="38"/>
    </row>
    <row r="107" ht="16.5" customHeight="1">
      <c r="B107" s="51"/>
      <c r="C107" s="51"/>
      <c r="D107" s="59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 ht="16.5" customHeight="1">
      <c r="B108" s="99" t="s">
        <v>257</v>
      </c>
      <c r="C108" s="51"/>
      <c r="D108" s="59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 ht="16.5" customHeight="1">
      <c r="B109" s="51" t="s">
        <v>259</v>
      </c>
      <c r="C109" s="175" t="s">
        <v>260</v>
      </c>
      <c r="D109" s="59"/>
      <c r="E109" s="80">
        <v>7.7504E8</v>
      </c>
      <c r="F109" s="80">
        <f>Rekap!E91</f>
        <v>10000000</v>
      </c>
      <c r="G109" s="177">
        <f>Rekap!E118</f>
        <v>188760000</v>
      </c>
      <c r="H109" s="177">
        <f>Rekap!E134</f>
        <v>188760000</v>
      </c>
      <c r="I109" s="80">
        <f>Rekap!E150</f>
        <v>150000000</v>
      </c>
      <c r="J109" s="80">
        <f>Rekap!E180</f>
        <v>150000000</v>
      </c>
      <c r="K109" s="80">
        <f>Rekap!E210</f>
        <v>70000000</v>
      </c>
      <c r="L109" s="80"/>
      <c r="M109" s="80"/>
      <c r="N109" s="80">
        <f>E109-F109-G109-H109-I109-J109-K109:K111</f>
        <v>17520000</v>
      </c>
      <c r="O109" s="38"/>
    </row>
    <row r="110" ht="16.5" customHeight="1">
      <c r="B110" s="51" t="s">
        <v>181</v>
      </c>
      <c r="C110" s="81"/>
      <c r="D110" s="59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38"/>
    </row>
    <row r="111" ht="16.5" customHeight="1">
      <c r="B111" s="25" t="s">
        <v>265</v>
      </c>
      <c r="C111" s="83"/>
      <c r="D111" s="59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38"/>
    </row>
    <row r="112" ht="16.5" customHeight="1">
      <c r="B112" s="25" t="s">
        <v>267</v>
      </c>
      <c r="C112" s="51" t="s">
        <v>268</v>
      </c>
      <c r="D112" s="59"/>
      <c r="E112" s="56">
        <v>1.915E9</v>
      </c>
      <c r="F112" s="38">
        <f>Rekap!E104</f>
        <v>25000000</v>
      </c>
      <c r="G112" s="178">
        <f>Rekap!E169</f>
        <v>1000000000</v>
      </c>
      <c r="H112" s="38">
        <f>Rekap!E356</f>
        <v>500000000</v>
      </c>
      <c r="I112" s="38"/>
      <c r="J112" s="38"/>
      <c r="K112" s="38"/>
      <c r="L112" s="38"/>
      <c r="M112" s="38"/>
      <c r="N112" s="38">
        <f>E112-F112-G112-H112-I112-J112-K112-L112</f>
        <v>390000000</v>
      </c>
      <c r="O112" s="38"/>
      <c r="P112" s="60">
        <f>N112/2</f>
        <v>195000000</v>
      </c>
    </row>
    <row r="113" ht="16.5" customHeight="1">
      <c r="B113" s="51" t="s">
        <v>271</v>
      </c>
      <c r="C113" s="175" t="s">
        <v>260</v>
      </c>
      <c r="D113" s="59"/>
      <c r="E113" s="179">
        <v>1.1E9</v>
      </c>
      <c r="F113" s="80">
        <f>Rekap!E110</f>
        <v>20000000</v>
      </c>
      <c r="G113" s="80">
        <f>Rekap!E165</f>
        <v>500000000</v>
      </c>
      <c r="H113" s="80">
        <f>Rekap!E170</f>
        <v>50000000</v>
      </c>
      <c r="I113" s="80">
        <f>Rekap!E260</f>
        <v>225000000</v>
      </c>
      <c r="J113" s="80">
        <f>Rekap!E352</f>
        <v>200000000</v>
      </c>
      <c r="K113" s="80"/>
      <c r="L113" s="80"/>
      <c r="M113" s="80"/>
      <c r="N113" s="80">
        <f>E113-F113-G113-H113-I113-J113-K113-L113-M113</f>
        <v>105000000</v>
      </c>
      <c r="O113" s="38"/>
      <c r="P113" s="60"/>
    </row>
    <row r="114" ht="16.5" customHeight="1">
      <c r="B114" s="51" t="s">
        <v>273</v>
      </c>
      <c r="C114" s="83"/>
      <c r="D114" s="59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38"/>
    </row>
    <row r="115" ht="16.5" customHeight="1">
      <c r="B115" s="25" t="s">
        <v>274</v>
      </c>
      <c r="C115" s="175" t="s">
        <v>260</v>
      </c>
      <c r="D115" s="59"/>
      <c r="E115" s="180">
        <v>9.0E8</v>
      </c>
      <c r="F115" s="80">
        <f>Rekap!E291</f>
        <v>400000000</v>
      </c>
      <c r="G115" s="177">
        <f>Rekap!E303</f>
        <v>50000000</v>
      </c>
      <c r="H115" s="177"/>
      <c r="I115" s="80"/>
      <c r="J115" s="80"/>
      <c r="K115" s="80"/>
      <c r="L115" s="80"/>
      <c r="M115" s="80"/>
      <c r="N115" s="80">
        <f>E115-F115-G115-H115-I115-J115-K115:K117</f>
        <v>450000000</v>
      </c>
      <c r="O115" s="38"/>
      <c r="P115" s="60">
        <f>N115</f>
        <v>450000000</v>
      </c>
    </row>
    <row r="116" ht="16.5" customHeight="1">
      <c r="B116" s="25" t="s">
        <v>278</v>
      </c>
      <c r="C116" s="81"/>
      <c r="D116" s="59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38"/>
    </row>
    <row r="117" ht="16.5" customHeight="1">
      <c r="B117" s="25" t="s">
        <v>280</v>
      </c>
      <c r="C117" s="83"/>
      <c r="D117" s="59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38"/>
    </row>
    <row r="118" ht="16.5" customHeight="1">
      <c r="B118" s="51"/>
      <c r="C118" s="51"/>
      <c r="D118" s="59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 ht="16.5" customHeight="1">
      <c r="B119" s="134" t="s">
        <v>282</v>
      </c>
      <c r="C119" s="51"/>
      <c r="D119" s="59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 ht="16.5" customHeight="1">
      <c r="B120" s="47" t="s">
        <v>284</v>
      </c>
      <c r="C120" s="39" t="s">
        <v>285</v>
      </c>
      <c r="D120" s="66"/>
      <c r="E120" s="43">
        <v>1.15251714E8</v>
      </c>
      <c r="F120" s="43">
        <f>Rekap!E74</f>
        <v>115251714</v>
      </c>
      <c r="G120" s="46"/>
      <c r="H120" s="46"/>
      <c r="I120" s="46"/>
      <c r="J120" s="46"/>
      <c r="K120" s="46"/>
      <c r="L120" s="46"/>
      <c r="M120" s="46"/>
      <c r="N120" s="46">
        <f t="shared" ref="N120:N136" si="16">E120-F120</f>
        <v>0</v>
      </c>
      <c r="O120" s="46"/>
    </row>
    <row r="121" ht="16.5" customHeight="1">
      <c r="B121" s="120" t="s">
        <v>288</v>
      </c>
      <c r="C121" s="69" t="s">
        <v>289</v>
      </c>
      <c r="D121" s="132"/>
      <c r="E121" s="181">
        <v>2.847E7</v>
      </c>
      <c r="F121" s="46">
        <f>Rekap!E121</f>
        <v>28470000</v>
      </c>
      <c r="G121" s="46"/>
      <c r="H121" s="46"/>
      <c r="I121" s="46"/>
      <c r="J121" s="46"/>
      <c r="K121" s="46"/>
      <c r="L121" s="46"/>
      <c r="M121" s="46"/>
      <c r="N121" s="46">
        <f t="shared" si="16"/>
        <v>0</v>
      </c>
      <c r="O121" s="46"/>
    </row>
    <row r="122" ht="16.5" customHeight="1">
      <c r="B122" s="120" t="s">
        <v>291</v>
      </c>
      <c r="C122" s="69" t="s">
        <v>292</v>
      </c>
      <c r="D122" s="132"/>
      <c r="E122" s="136">
        <v>2.4527719E7</v>
      </c>
      <c r="F122" s="46">
        <f>Rekap!E122</f>
        <v>24527719</v>
      </c>
      <c r="G122" s="46"/>
      <c r="H122" s="46"/>
      <c r="I122" s="46"/>
      <c r="J122" s="46"/>
      <c r="K122" s="46"/>
      <c r="L122" s="46"/>
      <c r="M122" s="46"/>
      <c r="N122" s="46">
        <f t="shared" si="16"/>
        <v>0</v>
      </c>
      <c r="O122" s="46"/>
    </row>
    <row r="123" ht="16.5" customHeight="1">
      <c r="B123" s="120" t="s">
        <v>294</v>
      </c>
      <c r="C123" s="69" t="s">
        <v>295</v>
      </c>
      <c r="D123" s="132"/>
      <c r="E123" s="46">
        <f>sum(F123:I123)</f>
        <v>1869016</v>
      </c>
      <c r="F123" s="46">
        <f>Rekap!E130</f>
        <v>1869016</v>
      </c>
      <c r="G123" s="46"/>
      <c r="H123" s="46"/>
      <c r="I123" s="46"/>
      <c r="J123" s="46"/>
      <c r="K123" s="46"/>
      <c r="L123" s="46"/>
      <c r="M123" s="46"/>
      <c r="N123" s="46">
        <f t="shared" si="16"/>
        <v>0</v>
      </c>
      <c r="O123" s="46"/>
    </row>
    <row r="124" ht="16.5" customHeight="1">
      <c r="B124" s="69"/>
      <c r="C124" s="39"/>
      <c r="D124" s="132"/>
      <c r="E124" s="181">
        <v>7091286.0</v>
      </c>
      <c r="F124" s="46">
        <f>Rekap!E140</f>
        <v>7091286</v>
      </c>
      <c r="G124" s="46"/>
      <c r="H124" s="46"/>
      <c r="I124" s="46"/>
      <c r="J124" s="46"/>
      <c r="K124" s="46"/>
      <c r="L124" s="46"/>
      <c r="M124" s="46"/>
      <c r="N124" s="46">
        <f t="shared" si="16"/>
        <v>0</v>
      </c>
      <c r="O124" s="46"/>
    </row>
    <row r="125" ht="16.5" customHeight="1">
      <c r="B125" s="120" t="s">
        <v>298</v>
      </c>
      <c r="C125" s="39"/>
      <c r="D125" s="132"/>
      <c r="E125" s="181">
        <v>7362500.0</v>
      </c>
      <c r="F125" s="46">
        <f>Rekap!E139</f>
        <v>7362500</v>
      </c>
      <c r="G125" s="46"/>
      <c r="H125" s="46"/>
      <c r="I125" s="46"/>
      <c r="J125" s="46"/>
      <c r="K125" s="46"/>
      <c r="L125" s="46"/>
      <c r="M125" s="46"/>
      <c r="N125" s="46">
        <f t="shared" si="16"/>
        <v>0</v>
      </c>
      <c r="O125" s="46"/>
    </row>
    <row r="126" ht="16.5" customHeight="1">
      <c r="B126" s="120" t="s">
        <v>300</v>
      </c>
      <c r="C126" s="39"/>
      <c r="D126" s="132"/>
      <c r="E126" s="136">
        <v>3000000.0</v>
      </c>
      <c r="F126" s="46">
        <f>Rekap!E160</f>
        <v>3000000</v>
      </c>
      <c r="G126" s="46"/>
      <c r="H126" s="46"/>
      <c r="I126" s="46"/>
      <c r="J126" s="46"/>
      <c r="K126" s="46"/>
      <c r="L126" s="46"/>
      <c r="M126" s="46"/>
      <c r="N126" s="46">
        <f t="shared" si="16"/>
        <v>0</v>
      </c>
      <c r="O126" s="46"/>
    </row>
    <row r="127" ht="16.5" customHeight="1">
      <c r="B127" s="120" t="s">
        <v>301</v>
      </c>
      <c r="C127" s="39"/>
      <c r="D127" s="132"/>
      <c r="E127" s="136">
        <v>1958400.0</v>
      </c>
      <c r="F127" s="46">
        <f>Rekap!E149</f>
        <v>1958400</v>
      </c>
      <c r="G127" s="46"/>
      <c r="H127" s="46"/>
      <c r="I127" s="46"/>
      <c r="J127" s="46"/>
      <c r="K127" s="46"/>
      <c r="L127" s="46"/>
      <c r="M127" s="46"/>
      <c r="N127" s="46">
        <f t="shared" si="16"/>
        <v>0</v>
      </c>
      <c r="O127" s="46"/>
    </row>
    <row r="128" ht="16.5" customHeight="1">
      <c r="B128" s="120" t="s">
        <v>303</v>
      </c>
      <c r="C128" s="39"/>
      <c r="D128" s="132"/>
      <c r="E128" s="136">
        <v>3.1167E7</v>
      </c>
      <c r="F128" s="46">
        <f>Rekap!E177</f>
        <v>31167000</v>
      </c>
      <c r="G128" s="46"/>
      <c r="H128" s="46"/>
      <c r="I128" s="46"/>
      <c r="J128" s="46"/>
      <c r="K128" s="46"/>
      <c r="L128" s="46"/>
      <c r="M128" s="46"/>
      <c r="N128" s="46">
        <f t="shared" si="16"/>
        <v>0</v>
      </c>
      <c r="O128" s="46"/>
    </row>
    <row r="129" ht="16.5" customHeight="1">
      <c r="B129" s="120" t="s">
        <v>305</v>
      </c>
      <c r="C129" s="39"/>
      <c r="D129" s="132"/>
      <c r="E129" s="136">
        <v>1.2411763E7</v>
      </c>
      <c r="F129" s="46">
        <f>Rekap!E183</f>
        <v>12411763</v>
      </c>
      <c r="G129" s="46"/>
      <c r="H129" s="46"/>
      <c r="I129" s="46"/>
      <c r="J129" s="46"/>
      <c r="K129" s="46"/>
      <c r="L129" s="46"/>
      <c r="M129" s="46"/>
      <c r="N129" s="46">
        <f t="shared" si="16"/>
        <v>0</v>
      </c>
      <c r="O129" s="46"/>
    </row>
    <row r="130" ht="16.5" customHeight="1">
      <c r="B130" s="120" t="s">
        <v>306</v>
      </c>
      <c r="C130" s="39"/>
      <c r="D130" s="132"/>
      <c r="E130" s="136">
        <v>1.4255763E7</v>
      </c>
      <c r="F130" s="46">
        <f>Rekap!E186</f>
        <v>14255763</v>
      </c>
      <c r="G130" s="46"/>
      <c r="H130" s="46"/>
      <c r="I130" s="46"/>
      <c r="J130" s="46"/>
      <c r="K130" s="46"/>
      <c r="L130" s="46"/>
      <c r="M130" s="46"/>
      <c r="N130" s="46">
        <f t="shared" si="16"/>
        <v>0</v>
      </c>
      <c r="O130" s="46"/>
    </row>
    <row r="131" ht="16.5" customHeight="1">
      <c r="B131" s="120" t="s">
        <v>308</v>
      </c>
      <c r="C131" s="39"/>
      <c r="D131" s="132"/>
      <c r="E131" s="136">
        <v>4.9393592E7</v>
      </c>
      <c r="F131" s="46">
        <f>Rekap!E203</f>
        <v>49393592</v>
      </c>
      <c r="G131" s="46"/>
      <c r="H131" s="46"/>
      <c r="I131" s="46"/>
      <c r="J131" s="46"/>
      <c r="K131" s="46"/>
      <c r="L131" s="46"/>
      <c r="M131" s="46"/>
      <c r="N131" s="46">
        <f t="shared" si="16"/>
        <v>0</v>
      </c>
      <c r="O131" s="46"/>
    </row>
    <row r="132" ht="16.5" customHeight="1">
      <c r="B132" s="36" t="s">
        <v>310</v>
      </c>
      <c r="C132" s="64" t="s">
        <v>311</v>
      </c>
      <c r="D132" s="132"/>
      <c r="E132" s="164">
        <v>2.68E7</v>
      </c>
      <c r="F132" s="46">
        <f>Rekap!E208</f>
        <v>26800000</v>
      </c>
      <c r="G132" s="46"/>
      <c r="H132" s="46"/>
      <c r="I132" s="46"/>
      <c r="J132" s="46"/>
      <c r="K132" s="46"/>
      <c r="L132" s="46"/>
      <c r="M132" s="46"/>
      <c r="N132" s="46">
        <f t="shared" si="16"/>
        <v>0</v>
      </c>
      <c r="O132" s="46"/>
    </row>
    <row r="133" ht="16.5" customHeight="1">
      <c r="B133" s="36" t="s">
        <v>313</v>
      </c>
      <c r="C133" s="64" t="s">
        <v>314</v>
      </c>
      <c r="D133" s="132"/>
      <c r="E133" s="168">
        <v>8.82E7</v>
      </c>
      <c r="F133" s="46">
        <f>Rekap!E223</f>
        <v>52920000</v>
      </c>
      <c r="G133" s="46"/>
      <c r="H133" s="46"/>
      <c r="I133" s="46"/>
      <c r="J133" s="46"/>
      <c r="K133" s="46"/>
      <c r="L133" s="46"/>
      <c r="M133" s="46"/>
      <c r="N133" s="46">
        <f t="shared" si="16"/>
        <v>35280000</v>
      </c>
      <c r="O133" s="46"/>
    </row>
    <row r="134" ht="16.5" customHeight="1">
      <c r="B134" s="36" t="s">
        <v>315</v>
      </c>
      <c r="C134" s="64" t="s">
        <v>61</v>
      </c>
      <c r="D134" s="132"/>
      <c r="E134" s="181">
        <v>3542764.0</v>
      </c>
      <c r="F134" s="46">
        <f>Rekap!E254</f>
        <v>3542764</v>
      </c>
      <c r="G134" s="46"/>
      <c r="H134" s="46"/>
      <c r="I134" s="46"/>
      <c r="J134" s="46"/>
      <c r="K134" s="46"/>
      <c r="L134" s="46"/>
      <c r="M134" s="46"/>
      <c r="N134" s="46">
        <f t="shared" si="16"/>
        <v>0</v>
      </c>
      <c r="O134" s="46"/>
    </row>
    <row r="135" ht="16.5" customHeight="1">
      <c r="B135" s="36" t="s">
        <v>317</v>
      </c>
      <c r="C135" s="64" t="s">
        <v>289</v>
      </c>
      <c r="D135" s="132"/>
      <c r="E135" s="43">
        <v>1.734375E7</v>
      </c>
      <c r="F135" s="46">
        <f>Rekap!E366</f>
        <v>17343750</v>
      </c>
      <c r="G135" s="46"/>
      <c r="H135" s="46"/>
      <c r="I135" s="46"/>
      <c r="J135" s="46"/>
      <c r="K135" s="46"/>
      <c r="L135" s="46"/>
      <c r="M135" s="46"/>
      <c r="N135" s="46">
        <f t="shared" si="16"/>
        <v>0</v>
      </c>
      <c r="O135" s="46"/>
    </row>
    <row r="136" ht="16.5" customHeight="1">
      <c r="B136" s="36" t="s">
        <v>319</v>
      </c>
      <c r="C136" s="64"/>
      <c r="D136" s="132"/>
      <c r="E136" s="184">
        <v>1980000.0</v>
      </c>
      <c r="F136" s="46">
        <f>Rekap!E383</f>
        <v>1980000</v>
      </c>
      <c r="G136" s="46"/>
      <c r="H136" s="46"/>
      <c r="I136" s="46"/>
      <c r="J136" s="46"/>
      <c r="K136" s="46"/>
      <c r="L136" s="46"/>
      <c r="M136" s="46"/>
      <c r="N136" s="46">
        <f t="shared" si="16"/>
        <v>0</v>
      </c>
      <c r="O136" s="46"/>
    </row>
    <row r="137" ht="16.5" customHeight="1">
      <c r="B137" s="25" t="s">
        <v>321</v>
      </c>
      <c r="C137" s="51"/>
      <c r="D137" s="59"/>
      <c r="E137" s="56"/>
      <c r="F137" s="38">
        <f>Rekap!E419</f>
        <v>1301575</v>
      </c>
      <c r="G137" s="38"/>
      <c r="H137" s="38"/>
      <c r="I137" s="38"/>
      <c r="J137" s="38"/>
      <c r="K137" s="38"/>
      <c r="L137" s="38"/>
      <c r="M137" s="38"/>
      <c r="N137" s="38"/>
      <c r="O137" s="38"/>
    </row>
    <row r="138" ht="16.5" customHeight="1">
      <c r="B138" s="51"/>
      <c r="C138" s="51"/>
      <c r="D138" s="59"/>
      <c r="E138" s="56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 ht="16.5" customHeight="1">
      <c r="B139" s="190" t="s">
        <v>322</v>
      </c>
      <c r="C139" s="51"/>
      <c r="D139" s="59"/>
      <c r="E139" s="56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 ht="16.5" customHeight="1">
      <c r="B140" s="64" t="s">
        <v>324</v>
      </c>
      <c r="C140" s="64" t="s">
        <v>325</v>
      </c>
      <c r="D140" s="132"/>
      <c r="E140" s="136">
        <f>Rekap!E251+Rekap!E257</f>
        <v>2940000</v>
      </c>
      <c r="F140" s="46">
        <f>Rekap!E251</f>
        <v>1775000</v>
      </c>
      <c r="G140" s="46">
        <f>Rekap!E257</f>
        <v>1165000</v>
      </c>
      <c r="H140" s="46">
        <f>Rekap!E397</f>
        <v>5266000</v>
      </c>
      <c r="I140" s="46">
        <f>Rekap!E406</f>
        <v>1803000</v>
      </c>
      <c r="J140" s="46"/>
      <c r="K140" s="46"/>
      <c r="L140" s="46"/>
      <c r="M140" s="46"/>
      <c r="N140" s="46">
        <f>E140-F140-G140</f>
        <v>0</v>
      </c>
      <c r="O140" s="46"/>
    </row>
    <row r="141" ht="16.5" customHeight="1">
      <c r="B141" s="25" t="s">
        <v>328</v>
      </c>
      <c r="C141" s="51"/>
      <c r="D141" s="59"/>
      <c r="E141" s="56"/>
      <c r="F141" s="38">
        <f>Rekap!E404</f>
        <v>3400000</v>
      </c>
      <c r="G141" s="38"/>
      <c r="H141" s="38"/>
      <c r="I141" s="38"/>
      <c r="J141" s="38"/>
      <c r="K141" s="38"/>
      <c r="L141" s="38"/>
      <c r="M141" s="38"/>
      <c r="N141" s="38"/>
      <c r="O141" s="38"/>
    </row>
    <row r="142" ht="16.5" customHeight="1">
      <c r="B142" s="51"/>
      <c r="C142" s="51"/>
      <c r="D142" s="59"/>
      <c r="E142" s="56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 ht="16.5" customHeight="1">
      <c r="B143" s="192" t="s">
        <v>329</v>
      </c>
      <c r="C143" s="51"/>
      <c r="D143" s="59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</row>
    <row r="144" ht="16.5" customHeight="1">
      <c r="B144" s="54" t="s">
        <v>331</v>
      </c>
      <c r="C144" s="51"/>
      <c r="D144" s="59"/>
      <c r="E144" s="56">
        <v>1665000.0</v>
      </c>
      <c r="F144" s="38">
        <f>Rekap!E111</f>
        <v>1665000</v>
      </c>
      <c r="G144" s="87"/>
      <c r="H144" s="87"/>
      <c r="I144" s="87"/>
      <c r="J144" s="87"/>
      <c r="K144" s="87"/>
      <c r="L144" s="87"/>
      <c r="M144" s="87"/>
      <c r="N144" s="38">
        <f t="shared" ref="N144:N153" si="17">E144-F144-G144</f>
        <v>0</v>
      </c>
      <c r="O144" s="87"/>
    </row>
    <row r="145" ht="16.5" customHeight="1">
      <c r="B145" s="54" t="s">
        <v>332</v>
      </c>
      <c r="C145" s="51"/>
      <c r="D145" s="59"/>
      <c r="E145" s="56">
        <v>960000.0</v>
      </c>
      <c r="F145" s="33">
        <f>Rekap!E108</f>
        <v>960000</v>
      </c>
      <c r="G145" s="87"/>
      <c r="H145" s="87"/>
      <c r="I145" s="87"/>
      <c r="J145" s="87"/>
      <c r="K145" s="87"/>
      <c r="L145" s="87"/>
      <c r="M145" s="87"/>
      <c r="N145" s="38">
        <f t="shared" si="17"/>
        <v>0</v>
      </c>
      <c r="O145" s="87"/>
    </row>
    <row r="146" ht="16.5" customHeight="1">
      <c r="B146" s="54" t="s">
        <v>326</v>
      </c>
      <c r="C146" s="51"/>
      <c r="D146" s="59"/>
      <c r="E146" s="56">
        <v>1875000.0</v>
      </c>
      <c r="F146" s="38">
        <f>Rekap!E119</f>
        <v>1875000</v>
      </c>
      <c r="G146" s="87"/>
      <c r="H146" s="87"/>
      <c r="I146" s="87"/>
      <c r="J146" s="87"/>
      <c r="K146" s="87"/>
      <c r="L146" s="87"/>
      <c r="M146" s="87"/>
      <c r="N146" s="38">
        <f t="shared" si="17"/>
        <v>0</v>
      </c>
      <c r="O146" s="87"/>
    </row>
    <row r="147" ht="16.5" customHeight="1">
      <c r="B147" s="54" t="s">
        <v>334</v>
      </c>
      <c r="C147" s="51"/>
      <c r="D147" s="59"/>
      <c r="E147" s="56">
        <v>1614600.0</v>
      </c>
      <c r="F147" s="38">
        <f>Rekap!E159</f>
        <v>1614600</v>
      </c>
      <c r="G147" s="87"/>
      <c r="H147" s="87"/>
      <c r="I147" s="87"/>
      <c r="J147" s="87"/>
      <c r="K147" s="87"/>
      <c r="L147" s="87"/>
      <c r="M147" s="87"/>
      <c r="N147" s="38">
        <f t="shared" si="17"/>
        <v>0</v>
      </c>
      <c r="O147" s="87"/>
    </row>
    <row r="148" ht="16.5" customHeight="1">
      <c r="B148" s="54" t="s">
        <v>335</v>
      </c>
      <c r="C148" s="51"/>
      <c r="D148" s="59"/>
      <c r="E148" s="56">
        <v>1830675.0</v>
      </c>
      <c r="F148" s="38">
        <f>Rekap!E162</f>
        <v>1830675</v>
      </c>
      <c r="G148" s="87"/>
      <c r="H148" s="87"/>
      <c r="I148" s="87"/>
      <c r="J148" s="87"/>
      <c r="K148" s="87"/>
      <c r="L148" s="87"/>
      <c r="M148" s="87"/>
      <c r="N148" s="38">
        <f t="shared" si="17"/>
        <v>0</v>
      </c>
      <c r="O148" s="87"/>
    </row>
    <row r="149" ht="16.5" customHeight="1">
      <c r="B149" s="54" t="s">
        <v>337</v>
      </c>
      <c r="C149" s="51"/>
      <c r="D149" s="59"/>
      <c r="E149" s="56">
        <v>7357004.0</v>
      </c>
      <c r="F149" s="38">
        <f>Rekap!E151</f>
        <v>7357004</v>
      </c>
      <c r="G149" s="87"/>
      <c r="H149" s="87"/>
      <c r="I149" s="87"/>
      <c r="J149" s="87"/>
      <c r="K149" s="87"/>
      <c r="L149" s="87"/>
      <c r="M149" s="87"/>
      <c r="N149" s="38">
        <f t="shared" si="17"/>
        <v>0</v>
      </c>
      <c r="O149" s="87"/>
    </row>
    <row r="150" ht="16.5" customHeight="1">
      <c r="B150" s="54" t="s">
        <v>339</v>
      </c>
      <c r="C150" s="51"/>
      <c r="D150" s="59"/>
      <c r="E150" s="56">
        <v>1.0644961E7</v>
      </c>
      <c r="F150" s="38">
        <f>Rekap!E171</f>
        <v>10644961</v>
      </c>
      <c r="G150" s="87"/>
      <c r="H150" s="87"/>
      <c r="I150" s="87"/>
      <c r="J150" s="87"/>
      <c r="K150" s="87"/>
      <c r="L150" s="87"/>
      <c r="M150" s="87"/>
      <c r="N150" s="38">
        <f t="shared" si="17"/>
        <v>0</v>
      </c>
      <c r="O150" s="87"/>
    </row>
    <row r="151" ht="16.5" customHeight="1">
      <c r="B151" s="54" t="s">
        <v>341</v>
      </c>
      <c r="C151" s="51"/>
      <c r="D151" s="59"/>
      <c r="E151" s="56">
        <v>1.0377795E7</v>
      </c>
      <c r="F151" s="38">
        <f>Rekap!E181</f>
        <v>10377795</v>
      </c>
      <c r="G151" s="87"/>
      <c r="H151" s="87"/>
      <c r="I151" s="87"/>
      <c r="J151" s="87"/>
      <c r="K151" s="87"/>
      <c r="L151" s="87"/>
      <c r="M151" s="87"/>
      <c r="N151" s="38">
        <f t="shared" si="17"/>
        <v>0</v>
      </c>
      <c r="O151" s="87"/>
    </row>
    <row r="152" ht="16.5" customHeight="1">
      <c r="B152" s="54" t="s">
        <v>343</v>
      </c>
      <c r="C152" s="51"/>
      <c r="D152" s="59"/>
      <c r="E152" s="56">
        <v>1.0377795E7</v>
      </c>
      <c r="F152" s="38">
        <f>Rekap!E192</f>
        <v>10377795</v>
      </c>
      <c r="G152" s="87"/>
      <c r="H152" s="87"/>
      <c r="I152" s="87"/>
      <c r="J152" s="87"/>
      <c r="K152" s="87"/>
      <c r="L152" s="87"/>
      <c r="M152" s="87"/>
      <c r="N152" s="38">
        <f t="shared" si="17"/>
        <v>0</v>
      </c>
      <c r="O152" s="87"/>
    </row>
    <row r="153" ht="16.5" customHeight="1">
      <c r="B153" s="54" t="s">
        <v>344</v>
      </c>
      <c r="C153" s="51"/>
      <c r="D153" s="59"/>
      <c r="E153" s="84">
        <v>1.0377795E7</v>
      </c>
      <c r="F153" s="38">
        <f>Rekap!E211</f>
        <v>10377795</v>
      </c>
      <c r="G153" s="87"/>
      <c r="H153" s="87"/>
      <c r="I153" s="87"/>
      <c r="J153" s="87"/>
      <c r="K153" s="87"/>
      <c r="L153" s="87"/>
      <c r="M153" s="87"/>
      <c r="N153" s="38">
        <f t="shared" si="17"/>
        <v>0</v>
      </c>
      <c r="O153" s="87"/>
    </row>
    <row r="154" ht="16.5" customHeight="1">
      <c r="B154" s="25" t="s">
        <v>345</v>
      </c>
      <c r="C154" s="51"/>
      <c r="D154" s="59"/>
      <c r="E154" s="84">
        <v>1.0110629E7</v>
      </c>
      <c r="F154" s="38">
        <f>Rekap!E226</f>
        <v>10110629</v>
      </c>
      <c r="G154" s="87"/>
      <c r="H154" s="87"/>
      <c r="I154" s="87"/>
      <c r="J154" s="87"/>
      <c r="K154" s="87"/>
      <c r="L154" s="87"/>
      <c r="M154" s="87"/>
      <c r="N154" s="38"/>
      <c r="O154" s="87"/>
    </row>
    <row r="155" ht="16.5" customHeight="1">
      <c r="B155" s="25" t="s">
        <v>347</v>
      </c>
      <c r="C155" s="51"/>
      <c r="D155" s="59"/>
      <c r="E155" s="207">
        <v>1.0377795E7</v>
      </c>
      <c r="F155" s="38">
        <f>Rekap!E275</f>
        <v>10377795</v>
      </c>
      <c r="G155" s="87"/>
      <c r="H155" s="87"/>
      <c r="I155" s="87"/>
      <c r="J155" s="87"/>
      <c r="K155" s="87"/>
      <c r="L155" s="87"/>
      <c r="M155" s="87"/>
      <c r="N155" s="38"/>
      <c r="O155" s="87"/>
    </row>
    <row r="156" ht="16.5" customHeight="1">
      <c r="B156" s="25" t="s">
        <v>349</v>
      </c>
      <c r="C156" s="51"/>
      <c r="D156" s="59"/>
      <c r="E156" s="207">
        <v>1.0110629E7</v>
      </c>
      <c r="F156" s="38">
        <f>Rekap!E339</f>
        <v>10110629</v>
      </c>
      <c r="G156" s="87"/>
      <c r="H156" s="87"/>
      <c r="I156" s="87"/>
      <c r="J156" s="87"/>
      <c r="K156" s="87"/>
      <c r="L156" s="87"/>
      <c r="M156" s="87"/>
      <c r="N156" s="38"/>
      <c r="O156" s="87"/>
    </row>
    <row r="157" ht="16.5" customHeight="1">
      <c r="B157" s="25" t="s">
        <v>351</v>
      </c>
      <c r="C157" s="51"/>
      <c r="D157" s="59"/>
      <c r="E157" s="207">
        <v>1.0110629E7</v>
      </c>
      <c r="F157" s="38">
        <f>Rekap!E402</f>
        <v>10110629</v>
      </c>
      <c r="G157" s="87"/>
      <c r="H157" s="87"/>
      <c r="I157" s="87"/>
      <c r="J157" s="87"/>
      <c r="K157" s="87"/>
      <c r="L157" s="87"/>
      <c r="M157" s="87"/>
      <c r="N157" s="38"/>
      <c r="O157" s="87"/>
    </row>
    <row r="158" ht="16.5" customHeight="1">
      <c r="B158" s="25" t="s">
        <v>353</v>
      </c>
      <c r="C158" s="51"/>
      <c r="D158" s="59"/>
      <c r="E158" s="207"/>
      <c r="F158" s="38">
        <f>Rekap!E420</f>
        <v>10377795</v>
      </c>
      <c r="G158" s="87"/>
      <c r="H158" s="87"/>
      <c r="I158" s="87"/>
      <c r="J158" s="87"/>
      <c r="K158" s="87"/>
      <c r="L158" s="87"/>
      <c r="M158" s="87"/>
      <c r="N158" s="38"/>
      <c r="O158" s="87"/>
    </row>
    <row r="159" ht="16.5" customHeight="1">
      <c r="B159" s="25"/>
      <c r="C159" s="51"/>
      <c r="D159" s="59"/>
      <c r="E159" s="207"/>
      <c r="F159" s="87"/>
      <c r="G159" s="87"/>
      <c r="H159" s="87"/>
      <c r="I159" s="87"/>
      <c r="J159" s="87"/>
      <c r="K159" s="87"/>
      <c r="L159" s="87"/>
      <c r="M159" s="87"/>
      <c r="N159" s="38"/>
      <c r="O159" s="87"/>
    </row>
    <row r="160" ht="16.5" customHeight="1">
      <c r="B160" s="25"/>
      <c r="C160" s="51"/>
      <c r="D160" s="59"/>
      <c r="E160" s="207"/>
      <c r="F160" s="87"/>
      <c r="G160" s="87"/>
      <c r="H160" s="87"/>
      <c r="I160" s="87"/>
      <c r="J160" s="87"/>
      <c r="K160" s="87"/>
      <c r="L160" s="87"/>
      <c r="M160" s="87"/>
      <c r="N160" s="38"/>
      <c r="O160" s="87"/>
    </row>
    <row r="161" ht="16.5" customHeight="1">
      <c r="B161" s="25"/>
      <c r="C161" s="51"/>
      <c r="D161" s="59"/>
      <c r="E161" s="207"/>
      <c r="F161" s="87"/>
      <c r="G161" s="87"/>
      <c r="H161" s="87"/>
      <c r="I161" s="87"/>
      <c r="J161" s="87"/>
      <c r="K161" s="87"/>
      <c r="L161" s="87"/>
      <c r="M161" s="87"/>
      <c r="N161" s="38"/>
      <c r="O161" s="87"/>
    </row>
    <row r="162" ht="16.5" customHeight="1">
      <c r="B162" s="25"/>
      <c r="C162" s="51"/>
      <c r="D162" s="59"/>
      <c r="E162" s="207"/>
      <c r="F162" s="87"/>
      <c r="G162" s="87"/>
      <c r="H162" s="87"/>
      <c r="I162" s="87"/>
      <c r="J162" s="87"/>
      <c r="K162" s="87"/>
      <c r="L162" s="87"/>
      <c r="M162" s="87"/>
      <c r="N162" s="38"/>
      <c r="O162" s="87"/>
    </row>
    <row r="163" ht="16.5" customHeight="1">
      <c r="B163" s="25"/>
      <c r="C163" s="51"/>
      <c r="D163" s="59"/>
      <c r="E163" s="207"/>
      <c r="F163" s="87"/>
      <c r="G163" s="87"/>
      <c r="H163" s="87"/>
      <c r="I163" s="87"/>
      <c r="J163" s="87"/>
      <c r="K163" s="87"/>
      <c r="L163" s="87"/>
      <c r="M163" s="87"/>
      <c r="N163" s="38"/>
      <c r="O163" s="87"/>
    </row>
    <row r="164" ht="16.5" customHeight="1">
      <c r="B164" s="54"/>
      <c r="C164" s="51"/>
      <c r="D164" s="59"/>
      <c r="E164" s="213"/>
      <c r="F164" s="87"/>
      <c r="G164" s="87"/>
      <c r="H164" s="87"/>
      <c r="I164" s="87"/>
      <c r="J164" s="87"/>
      <c r="K164" s="87"/>
      <c r="L164" s="87"/>
      <c r="M164" s="87"/>
      <c r="N164" s="38"/>
      <c r="O164" s="87"/>
    </row>
    <row r="165" ht="16.5" customHeight="1">
      <c r="B165" s="54"/>
      <c r="C165" s="51"/>
      <c r="D165" s="59"/>
      <c r="E165" s="56"/>
      <c r="F165" s="87"/>
      <c r="G165" s="87"/>
      <c r="H165" s="87"/>
      <c r="I165" s="87"/>
      <c r="J165" s="87"/>
      <c r="K165" s="87"/>
      <c r="L165" s="87"/>
      <c r="M165" s="87"/>
      <c r="N165" s="38"/>
      <c r="O165" s="87"/>
    </row>
    <row r="166" ht="16.5" customHeight="1">
      <c r="B166" s="25" t="s">
        <v>359</v>
      </c>
      <c r="C166" s="51"/>
      <c r="D166" s="59"/>
      <c r="E166" s="207">
        <v>1.5E8</v>
      </c>
      <c r="F166" s="207"/>
      <c r="G166" s="87"/>
      <c r="H166" s="87"/>
      <c r="I166" s="87"/>
      <c r="J166" s="87"/>
      <c r="K166" s="87"/>
      <c r="L166" s="87"/>
      <c r="M166" s="87"/>
      <c r="N166" s="38"/>
      <c r="O166" s="87"/>
      <c r="P166" s="60"/>
      <c r="Q166" s="214"/>
    </row>
    <row r="167" ht="16.5" customHeight="1">
      <c r="B167" s="25" t="s">
        <v>361</v>
      </c>
      <c r="C167" s="51"/>
      <c r="D167" s="59"/>
      <c r="E167" s="207">
        <v>7.5E7</v>
      </c>
      <c r="F167" s="207"/>
      <c r="G167" s="87"/>
      <c r="H167" s="87"/>
      <c r="I167" s="87"/>
      <c r="J167" s="87"/>
      <c r="K167" s="87"/>
      <c r="L167" s="87"/>
      <c r="M167" s="87"/>
      <c r="N167" s="38"/>
      <c r="O167" s="87"/>
      <c r="P167" s="60"/>
      <c r="Q167" s="214"/>
    </row>
    <row r="168" ht="16.5" customHeight="1">
      <c r="B168" s="25" t="s">
        <v>362</v>
      </c>
      <c r="C168" s="51"/>
      <c r="D168" s="59"/>
      <c r="E168" s="207">
        <v>3.0E7</v>
      </c>
      <c r="F168" s="207"/>
      <c r="G168" s="87"/>
      <c r="H168" s="87"/>
      <c r="I168" s="87"/>
      <c r="J168" s="87"/>
      <c r="K168" s="87"/>
      <c r="L168" s="87"/>
      <c r="M168" s="87"/>
      <c r="N168" s="38"/>
      <c r="O168" s="87"/>
      <c r="P168" s="60"/>
      <c r="Q168" s="214"/>
    </row>
    <row r="169" ht="16.5" customHeight="1">
      <c r="B169" s="54"/>
      <c r="C169" s="51"/>
      <c r="D169" s="59"/>
      <c r="E169" s="207"/>
      <c r="F169" s="207"/>
      <c r="G169" s="87"/>
      <c r="H169" s="87"/>
      <c r="I169" s="87"/>
      <c r="J169" s="87"/>
      <c r="K169" s="87"/>
      <c r="L169" s="87"/>
      <c r="M169" s="87"/>
      <c r="N169" s="38"/>
      <c r="O169" s="87"/>
      <c r="P169" s="60"/>
      <c r="Q169" s="214"/>
    </row>
    <row r="170" ht="16.5" customHeight="1">
      <c r="B170" s="54"/>
      <c r="C170" s="51"/>
      <c r="D170" s="59"/>
      <c r="E170" s="84"/>
      <c r="F170" s="87"/>
      <c r="G170" s="87"/>
      <c r="H170" s="87"/>
      <c r="I170" s="87"/>
      <c r="J170" s="87"/>
      <c r="K170" s="87"/>
      <c r="L170" s="87"/>
      <c r="M170" s="87"/>
      <c r="N170" s="38"/>
      <c r="O170" s="87"/>
      <c r="P170" s="60">
        <f>SUM(P5:P165)</f>
        <v>1296194070</v>
      </c>
      <c r="Q170" s="216">
        <f>sum(E166:E168)</f>
        <v>255000000</v>
      </c>
      <c r="R170" s="60">
        <f>P170+Q170</f>
        <v>1551194070</v>
      </c>
    </row>
    <row r="171" ht="16.5" customHeight="1">
      <c r="B171" s="90"/>
      <c r="C171" s="90"/>
      <c r="D171" s="91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</row>
    <row r="172" ht="16.5" customHeight="1">
      <c r="B172" s="2"/>
      <c r="C172" s="2"/>
      <c r="E172" s="97">
        <f>SUM(E7:E170)</f>
        <v>14747779693</v>
      </c>
      <c r="F172" s="100">
        <f t="shared" ref="F172:L172" si="18">SUM(F5:F170)</f>
        <v>5695836281</v>
      </c>
      <c r="G172" s="100">
        <f t="shared" si="18"/>
        <v>3997964584</v>
      </c>
      <c r="H172" s="100">
        <f t="shared" si="18"/>
        <v>1840142188</v>
      </c>
      <c r="I172" s="100">
        <f t="shared" si="18"/>
        <v>724003000</v>
      </c>
      <c r="J172" s="100">
        <f t="shared" si="18"/>
        <v>393510000</v>
      </c>
      <c r="K172" s="100">
        <f t="shared" si="18"/>
        <v>102040000</v>
      </c>
      <c r="L172" s="100">
        <f t="shared" si="18"/>
        <v>20000000</v>
      </c>
      <c r="M172" s="104"/>
      <c r="N172" s="104">
        <f>SUM(N7:N170)</f>
        <v>2008632010</v>
      </c>
      <c r="O172" s="104">
        <f>F172+G172+H172+I172+J172+K172+L172</f>
        <v>12773496053</v>
      </c>
    </row>
    <row r="173" ht="16.5" customHeight="1">
      <c r="B173" s="2"/>
      <c r="C173" s="2"/>
      <c r="O173" s="219">
        <f>Rekap!E72</f>
        <v>214058250</v>
      </c>
      <c r="P173" s="12" t="s">
        <v>376</v>
      </c>
    </row>
    <row r="174" ht="16.5" customHeight="1">
      <c r="B174" s="2"/>
      <c r="C174" s="2"/>
      <c r="O174" s="7"/>
    </row>
    <row r="175" ht="16.5" customHeight="1">
      <c r="B175" s="2"/>
      <c r="C175" s="2"/>
      <c r="O175" s="7">
        <f>O172+O173</f>
        <v>12987554303</v>
      </c>
    </row>
    <row r="176" ht="16.5" customHeight="1">
      <c r="B176" s="2"/>
      <c r="C176" s="2"/>
      <c r="O176" s="7"/>
    </row>
    <row r="177" ht="16.5" customHeight="1">
      <c r="B177" s="2"/>
      <c r="C177" s="2"/>
      <c r="F177" s="7"/>
      <c r="G177" s="7"/>
      <c r="H177" s="7"/>
      <c r="I177" s="7"/>
      <c r="J177" s="7"/>
      <c r="K177" s="7"/>
      <c r="L177" s="7"/>
      <c r="O177" s="7"/>
    </row>
    <row r="178" ht="16.5" customHeight="1">
      <c r="B178" s="2"/>
      <c r="C178" s="2"/>
      <c r="F178" s="7"/>
      <c r="G178" s="7"/>
      <c r="H178" s="7"/>
      <c r="I178" s="7"/>
      <c r="J178" s="7"/>
      <c r="K178" s="7"/>
      <c r="L178" s="7"/>
      <c r="O178" s="7"/>
    </row>
    <row r="179" ht="16.5" customHeight="1">
      <c r="B179" s="2"/>
      <c r="C179" s="2"/>
      <c r="F179" s="7"/>
      <c r="G179" s="7"/>
      <c r="H179" s="7"/>
      <c r="I179" s="7"/>
      <c r="J179" s="7"/>
      <c r="K179" s="7"/>
      <c r="L179" s="7"/>
      <c r="O179" s="7"/>
    </row>
    <row r="180" ht="16.5" customHeight="1">
      <c r="B180" s="2"/>
      <c r="C180" s="2"/>
      <c r="F180" s="7"/>
      <c r="G180" s="7"/>
      <c r="H180" s="7"/>
      <c r="I180" s="7"/>
      <c r="J180" s="7"/>
      <c r="K180" s="7"/>
      <c r="L180" s="7"/>
      <c r="O180" s="7"/>
    </row>
    <row r="181" ht="16.5" customHeight="1">
      <c r="B181" s="2"/>
      <c r="C181" s="2"/>
      <c r="F181" s="7"/>
      <c r="G181" s="7"/>
      <c r="H181" s="7"/>
      <c r="I181" s="7"/>
      <c r="J181" s="7"/>
      <c r="K181" s="7"/>
      <c r="L181" s="7"/>
      <c r="O181" s="7"/>
    </row>
    <row r="182" ht="16.5" customHeight="1">
      <c r="B182" s="2"/>
      <c r="C182" s="2"/>
      <c r="F182" s="7"/>
      <c r="G182" s="7"/>
      <c r="H182" s="7"/>
      <c r="I182" s="7"/>
      <c r="J182" s="7"/>
      <c r="K182" s="7"/>
      <c r="L182" s="7"/>
      <c r="O182" s="7"/>
    </row>
    <row r="183" ht="16.5" customHeight="1">
      <c r="B183" s="2"/>
      <c r="C183" s="2"/>
    </row>
    <row r="184" ht="16.5" customHeight="1">
      <c r="B184" s="2"/>
      <c r="C184" s="2"/>
    </row>
    <row r="185" ht="16.5" customHeight="1">
      <c r="B185" s="2"/>
      <c r="C185" s="2"/>
    </row>
    <row r="186" ht="16.5" customHeight="1">
      <c r="B186" s="2"/>
      <c r="C186" s="2"/>
    </row>
    <row r="187" ht="16.5" customHeight="1">
      <c r="B187" s="2"/>
      <c r="C187" s="2"/>
    </row>
    <row r="188" ht="16.5" customHeight="1">
      <c r="B188" s="2"/>
      <c r="C188" s="2"/>
    </row>
    <row r="189" ht="16.5" customHeight="1">
      <c r="B189" s="2"/>
      <c r="C189" s="2"/>
    </row>
    <row r="190" ht="16.5" customHeight="1">
      <c r="B190" s="2"/>
      <c r="C190" s="2"/>
    </row>
    <row r="191" ht="16.5" customHeight="1">
      <c r="B191" s="2"/>
      <c r="C191" s="2"/>
    </row>
    <row r="192" ht="16.5" customHeight="1">
      <c r="B192" s="2"/>
      <c r="C192" s="2"/>
    </row>
    <row r="193" ht="16.5" customHeight="1">
      <c r="B193" s="2"/>
      <c r="C193" s="2"/>
    </row>
    <row r="194" ht="16.5" customHeight="1">
      <c r="B194" s="2"/>
      <c r="C194" s="2"/>
    </row>
    <row r="195" ht="16.5" customHeight="1">
      <c r="B195" s="2"/>
      <c r="C195" s="2"/>
    </row>
    <row r="196" ht="16.5" customHeight="1">
      <c r="B196" s="2"/>
      <c r="C196" s="2"/>
    </row>
    <row r="197" ht="16.5" customHeight="1">
      <c r="B197" s="2"/>
      <c r="C197" s="2"/>
    </row>
    <row r="198" ht="16.5" customHeight="1">
      <c r="B198" s="2"/>
      <c r="C198" s="2"/>
    </row>
    <row r="199" ht="16.5" customHeight="1">
      <c r="B199" s="2"/>
      <c r="C199" s="2"/>
    </row>
    <row r="200" ht="16.5" customHeight="1">
      <c r="B200" s="2"/>
      <c r="C200" s="2"/>
    </row>
    <row r="201" ht="16.5" customHeight="1">
      <c r="B201" s="2"/>
      <c r="C201" s="2"/>
    </row>
    <row r="202" ht="16.5" customHeight="1">
      <c r="B202" s="2"/>
      <c r="C202" s="2"/>
    </row>
    <row r="203" ht="16.5" customHeight="1">
      <c r="B203" s="2"/>
      <c r="C203" s="2"/>
    </row>
    <row r="204" ht="16.5" customHeight="1">
      <c r="B204" s="2"/>
      <c r="C204" s="2"/>
    </row>
    <row r="205" ht="16.5" customHeight="1">
      <c r="B205" s="2"/>
      <c r="C205" s="2"/>
    </row>
    <row r="206" ht="16.5" customHeight="1">
      <c r="B206" s="2"/>
      <c r="C206" s="2"/>
    </row>
    <row r="207" ht="16.5" customHeight="1">
      <c r="B207" s="2"/>
      <c r="C207" s="2"/>
    </row>
    <row r="208" ht="16.5" customHeight="1">
      <c r="B208" s="2"/>
      <c r="C208" s="2"/>
    </row>
    <row r="209" ht="16.5" customHeight="1">
      <c r="B209" s="2"/>
      <c r="C209" s="2"/>
    </row>
    <row r="210" ht="16.5" customHeight="1">
      <c r="B210" s="2"/>
      <c r="C210" s="2"/>
    </row>
    <row r="211" ht="16.5" customHeight="1">
      <c r="B211" s="2"/>
      <c r="C211" s="2"/>
    </row>
    <row r="212" ht="16.5" customHeight="1">
      <c r="B212" s="2"/>
      <c r="C212" s="2"/>
    </row>
    <row r="213" ht="16.5" customHeight="1">
      <c r="B213" s="2"/>
      <c r="C213" s="2"/>
    </row>
    <row r="214" ht="16.5" customHeight="1">
      <c r="B214" s="2"/>
      <c r="C214" s="2"/>
    </row>
    <row r="215" ht="16.5" customHeight="1">
      <c r="B215" s="2"/>
      <c r="C215" s="2"/>
    </row>
    <row r="216" ht="16.5" customHeight="1">
      <c r="B216" s="2"/>
      <c r="C216" s="2"/>
    </row>
    <row r="217" ht="16.5" customHeight="1">
      <c r="B217" s="2"/>
      <c r="C217" s="2"/>
    </row>
    <row r="218" ht="16.5" customHeight="1">
      <c r="B218" s="2"/>
      <c r="C218" s="2"/>
    </row>
    <row r="219" ht="16.5" customHeight="1">
      <c r="B219" s="2"/>
      <c r="C219" s="2"/>
    </row>
    <row r="220" ht="16.5" customHeight="1">
      <c r="B220" s="2"/>
      <c r="C220" s="2"/>
    </row>
    <row r="221" ht="16.5" customHeight="1">
      <c r="B221" s="2"/>
      <c r="C221" s="2"/>
    </row>
    <row r="222" ht="16.5" customHeight="1">
      <c r="B222" s="2"/>
      <c r="C222" s="2"/>
    </row>
    <row r="223" ht="16.5" customHeight="1">
      <c r="B223" s="2"/>
      <c r="C223" s="2"/>
    </row>
    <row r="224" ht="16.5" customHeight="1">
      <c r="B224" s="2"/>
      <c r="C224" s="2"/>
    </row>
    <row r="225" ht="16.5" customHeight="1">
      <c r="B225" s="2"/>
      <c r="C225" s="2"/>
    </row>
    <row r="226" ht="16.5" customHeight="1">
      <c r="B226" s="2"/>
      <c r="C226" s="2"/>
    </row>
    <row r="227" ht="16.5" customHeight="1">
      <c r="B227" s="2"/>
      <c r="C227" s="2"/>
    </row>
    <row r="228" ht="16.5" customHeight="1">
      <c r="B228" s="2"/>
      <c r="C228" s="2"/>
    </row>
    <row r="229" ht="16.5" customHeight="1">
      <c r="B229" s="2"/>
      <c r="C229" s="2"/>
    </row>
    <row r="230" ht="16.5" customHeight="1">
      <c r="B230" s="2"/>
      <c r="C230" s="2"/>
    </row>
    <row r="231" ht="16.5" customHeight="1">
      <c r="B231" s="2"/>
      <c r="C231" s="2"/>
    </row>
    <row r="232" ht="16.5" customHeight="1">
      <c r="B232" s="2"/>
      <c r="C232" s="2"/>
    </row>
    <row r="233" ht="16.5" customHeight="1">
      <c r="B233" s="2"/>
      <c r="C233" s="2"/>
    </row>
    <row r="234" ht="16.5" customHeight="1">
      <c r="B234" s="2"/>
      <c r="C234" s="2"/>
    </row>
    <row r="235" ht="16.5" customHeight="1">
      <c r="B235" s="2"/>
      <c r="C235" s="2"/>
    </row>
    <row r="236" ht="16.5" customHeight="1">
      <c r="B236" s="2"/>
      <c r="C236" s="2"/>
    </row>
    <row r="237" ht="16.5" customHeight="1">
      <c r="B237" s="2"/>
      <c r="C237" s="2"/>
    </row>
    <row r="238" ht="16.5" customHeight="1">
      <c r="B238" s="2"/>
      <c r="C238" s="2"/>
    </row>
    <row r="239" ht="16.5" customHeight="1">
      <c r="B239" s="2"/>
      <c r="C239" s="2"/>
    </row>
    <row r="240" ht="16.5" customHeight="1">
      <c r="B240" s="2"/>
      <c r="C240" s="2"/>
    </row>
    <row r="241" ht="16.5" customHeight="1">
      <c r="B241" s="2"/>
      <c r="C241" s="2"/>
    </row>
    <row r="242" ht="16.5" customHeight="1">
      <c r="B242" s="2"/>
      <c r="C242" s="2"/>
    </row>
    <row r="243" ht="16.5" customHeight="1">
      <c r="B243" s="2"/>
      <c r="C243" s="2"/>
    </row>
    <row r="244" ht="16.5" customHeight="1">
      <c r="B244" s="2"/>
      <c r="C244" s="2"/>
    </row>
    <row r="245" ht="16.5" customHeight="1">
      <c r="B245" s="2"/>
      <c r="C245" s="2"/>
    </row>
    <row r="246" ht="16.5" customHeight="1">
      <c r="B246" s="2"/>
      <c r="C246" s="2"/>
    </row>
    <row r="247" ht="16.5" customHeight="1">
      <c r="B247" s="2"/>
      <c r="C247" s="2"/>
    </row>
    <row r="248" ht="16.5" customHeight="1">
      <c r="B248" s="2"/>
      <c r="C248" s="2"/>
    </row>
    <row r="249" ht="16.5" customHeight="1">
      <c r="B249" s="2"/>
      <c r="C249" s="2"/>
    </row>
    <row r="250" ht="16.5" customHeight="1">
      <c r="B250" s="2"/>
      <c r="C250" s="2"/>
    </row>
    <row r="251" ht="16.5" customHeight="1">
      <c r="B251" s="2"/>
      <c r="C251" s="2"/>
    </row>
    <row r="252" ht="16.5" customHeight="1">
      <c r="B252" s="2"/>
      <c r="C252" s="2"/>
    </row>
    <row r="253" ht="16.5" customHeight="1">
      <c r="B253" s="2"/>
      <c r="C253" s="2"/>
    </row>
    <row r="254" ht="16.5" customHeight="1">
      <c r="B254" s="2"/>
      <c r="C254" s="2"/>
    </row>
    <row r="255" ht="16.5" customHeight="1">
      <c r="B255" s="2"/>
      <c r="C255" s="2"/>
    </row>
    <row r="256" ht="16.5" customHeight="1">
      <c r="B256" s="2"/>
      <c r="C256" s="2"/>
    </row>
    <row r="257" ht="16.5" customHeight="1">
      <c r="B257" s="2"/>
      <c r="C257" s="2"/>
    </row>
    <row r="258" ht="16.5" customHeight="1">
      <c r="B258" s="2"/>
      <c r="C258" s="2"/>
    </row>
    <row r="259" ht="16.5" customHeight="1">
      <c r="B259" s="2"/>
      <c r="C259" s="2"/>
    </row>
    <row r="260" ht="16.5" customHeight="1">
      <c r="B260" s="2"/>
      <c r="C260" s="2"/>
    </row>
    <row r="261" ht="16.5" customHeight="1">
      <c r="B261" s="2"/>
      <c r="C261" s="2"/>
    </row>
    <row r="262" ht="16.5" customHeight="1">
      <c r="B262" s="2"/>
      <c r="C262" s="2"/>
    </row>
    <row r="263" ht="16.5" customHeight="1">
      <c r="B263" s="2"/>
      <c r="C263" s="2"/>
    </row>
    <row r="264" ht="16.5" customHeight="1">
      <c r="B264" s="2"/>
      <c r="C264" s="2"/>
    </row>
    <row r="265" ht="16.5" customHeight="1">
      <c r="B265" s="2"/>
      <c r="C265" s="2"/>
    </row>
    <row r="266" ht="16.5" customHeight="1">
      <c r="B266" s="2"/>
      <c r="C266" s="2"/>
    </row>
    <row r="267" ht="16.5" customHeight="1">
      <c r="B267" s="2"/>
      <c r="C267" s="2"/>
    </row>
    <row r="268" ht="16.5" customHeight="1">
      <c r="B268" s="2"/>
      <c r="C268" s="2"/>
    </row>
    <row r="269" ht="16.5" customHeight="1">
      <c r="B269" s="2"/>
      <c r="C269" s="2"/>
    </row>
    <row r="270" ht="16.5" customHeight="1">
      <c r="B270" s="2"/>
      <c r="C270" s="2"/>
    </row>
    <row r="271" ht="16.5" customHeight="1">
      <c r="B271" s="2"/>
      <c r="C271" s="2"/>
    </row>
    <row r="272" ht="16.5" customHeight="1">
      <c r="B272" s="2"/>
      <c r="C272" s="2"/>
    </row>
    <row r="273" ht="16.5" customHeight="1">
      <c r="B273" s="2"/>
      <c r="C273" s="2"/>
    </row>
    <row r="274" ht="16.5" customHeight="1">
      <c r="B274" s="2"/>
      <c r="C274" s="2"/>
    </row>
    <row r="275" ht="16.5" customHeight="1">
      <c r="B275" s="2"/>
      <c r="C275" s="2"/>
    </row>
    <row r="276" ht="16.5" customHeight="1">
      <c r="B276" s="2"/>
      <c r="C276" s="2"/>
    </row>
    <row r="277" ht="16.5" customHeight="1">
      <c r="B277" s="2"/>
      <c r="C277" s="2"/>
    </row>
    <row r="278" ht="16.5" customHeight="1">
      <c r="B278" s="2"/>
      <c r="C278" s="2"/>
    </row>
    <row r="279" ht="16.5" customHeight="1">
      <c r="B279" s="2"/>
      <c r="C279" s="2"/>
    </row>
    <row r="280" ht="16.5" customHeight="1">
      <c r="B280" s="2"/>
      <c r="C280" s="2"/>
    </row>
    <row r="281" ht="16.5" customHeight="1">
      <c r="B281" s="2"/>
      <c r="C281" s="2"/>
    </row>
    <row r="282" ht="16.5" customHeight="1">
      <c r="B282" s="2"/>
      <c r="C282" s="2"/>
    </row>
    <row r="283" ht="16.5" customHeight="1">
      <c r="B283" s="2"/>
      <c r="C283" s="2"/>
    </row>
    <row r="284" ht="16.5" customHeight="1">
      <c r="B284" s="2"/>
      <c r="C284" s="2"/>
    </row>
    <row r="285" ht="16.5" customHeight="1">
      <c r="B285" s="2"/>
      <c r="C285" s="2"/>
    </row>
    <row r="286" ht="16.5" customHeight="1">
      <c r="B286" s="2"/>
      <c r="C286" s="2"/>
    </row>
    <row r="287" ht="16.5" customHeight="1">
      <c r="B287" s="2"/>
      <c r="C287" s="2"/>
    </row>
    <row r="288" ht="16.5" customHeight="1">
      <c r="B288" s="2"/>
      <c r="C288" s="2"/>
    </row>
    <row r="289" ht="16.5" customHeight="1">
      <c r="B289" s="2"/>
      <c r="C289" s="2"/>
    </row>
    <row r="290" ht="16.5" customHeight="1">
      <c r="B290" s="2"/>
      <c r="C290" s="2"/>
    </row>
    <row r="291" ht="16.5" customHeight="1">
      <c r="B291" s="2"/>
      <c r="C291" s="2"/>
    </row>
    <row r="292" ht="16.5" customHeight="1">
      <c r="B292" s="2"/>
      <c r="C292" s="2"/>
    </row>
    <row r="293" ht="16.5" customHeight="1">
      <c r="B293" s="2"/>
      <c r="C293" s="2"/>
    </row>
    <row r="294" ht="16.5" customHeight="1">
      <c r="B294" s="2"/>
      <c r="C294" s="2"/>
    </row>
    <row r="295" ht="16.5" customHeight="1">
      <c r="B295" s="2"/>
      <c r="C295" s="2"/>
    </row>
    <row r="296" ht="16.5" customHeight="1">
      <c r="B296" s="2"/>
      <c r="C296" s="2"/>
    </row>
    <row r="297" ht="16.5" customHeight="1">
      <c r="B297" s="2"/>
      <c r="C297" s="2"/>
    </row>
    <row r="298" ht="16.5" customHeight="1">
      <c r="B298" s="2"/>
      <c r="C298" s="2"/>
    </row>
    <row r="299" ht="16.5" customHeight="1">
      <c r="B299" s="2"/>
      <c r="C299" s="2"/>
    </row>
    <row r="300" ht="16.5" customHeight="1">
      <c r="B300" s="2"/>
      <c r="C300" s="2"/>
    </row>
    <row r="301" ht="16.5" customHeight="1">
      <c r="B301" s="2"/>
      <c r="C301" s="2"/>
    </row>
    <row r="302" ht="16.5" customHeight="1">
      <c r="B302" s="2"/>
      <c r="C302" s="2"/>
    </row>
    <row r="303" ht="16.5" customHeight="1">
      <c r="B303" s="2"/>
      <c r="C303" s="2"/>
    </row>
    <row r="304" ht="16.5" customHeight="1">
      <c r="B304" s="2"/>
      <c r="C304" s="2"/>
    </row>
    <row r="305" ht="16.5" customHeight="1">
      <c r="B305" s="2"/>
      <c r="C305" s="2"/>
    </row>
    <row r="306" ht="16.5" customHeight="1">
      <c r="B306" s="2"/>
      <c r="C306" s="2"/>
    </row>
    <row r="307" ht="16.5" customHeight="1">
      <c r="B307" s="2"/>
      <c r="C307" s="2"/>
    </row>
    <row r="308" ht="16.5" customHeight="1">
      <c r="B308" s="2"/>
      <c r="C308" s="2"/>
    </row>
    <row r="309" ht="16.5" customHeight="1">
      <c r="B309" s="2"/>
      <c r="C309" s="2"/>
    </row>
    <row r="310" ht="16.5" customHeight="1">
      <c r="B310" s="2"/>
      <c r="C310" s="2"/>
    </row>
    <row r="311" ht="16.5" customHeight="1">
      <c r="B311" s="2"/>
      <c r="C311" s="2"/>
    </row>
    <row r="312" ht="16.5" customHeight="1">
      <c r="B312" s="2"/>
      <c r="C312" s="2"/>
    </row>
    <row r="313" ht="16.5" customHeight="1">
      <c r="B313" s="2"/>
      <c r="C313" s="2"/>
    </row>
    <row r="314" ht="16.5" customHeight="1">
      <c r="B314" s="2"/>
      <c r="C314" s="2"/>
    </row>
    <row r="315" ht="16.5" customHeight="1">
      <c r="B315" s="2"/>
      <c r="C315" s="2"/>
    </row>
    <row r="316" ht="16.5" customHeight="1">
      <c r="B316" s="2"/>
      <c r="C316" s="2"/>
    </row>
    <row r="317" ht="16.5" customHeight="1">
      <c r="B317" s="2"/>
      <c r="C317" s="2"/>
    </row>
    <row r="318" ht="16.5" customHeight="1">
      <c r="B318" s="2"/>
      <c r="C318" s="2"/>
    </row>
    <row r="319" ht="16.5" customHeight="1">
      <c r="B319" s="2"/>
      <c r="C319" s="2"/>
    </row>
    <row r="320" ht="16.5" customHeight="1">
      <c r="B320" s="2"/>
      <c r="C320" s="2"/>
    </row>
    <row r="321" ht="16.5" customHeight="1">
      <c r="B321" s="2"/>
      <c r="C321" s="2"/>
    </row>
    <row r="322" ht="16.5" customHeight="1">
      <c r="B322" s="2"/>
      <c r="C322" s="2"/>
    </row>
    <row r="323" ht="16.5" customHeight="1">
      <c r="B323" s="2"/>
      <c r="C323" s="2"/>
    </row>
    <row r="324" ht="16.5" customHeight="1">
      <c r="B324" s="2"/>
      <c r="C324" s="2"/>
    </row>
    <row r="325" ht="16.5" customHeight="1">
      <c r="B325" s="2"/>
      <c r="C325" s="2"/>
    </row>
    <row r="326" ht="16.5" customHeight="1">
      <c r="B326" s="2"/>
      <c r="C326" s="2"/>
    </row>
    <row r="327" ht="16.5" customHeight="1">
      <c r="B327" s="2"/>
      <c r="C327" s="2"/>
    </row>
    <row r="328" ht="16.5" customHeight="1">
      <c r="B328" s="2"/>
      <c r="C328" s="2"/>
    </row>
    <row r="329" ht="16.5" customHeight="1">
      <c r="B329" s="2"/>
      <c r="C329" s="2"/>
    </row>
    <row r="330" ht="16.5" customHeight="1">
      <c r="B330" s="2"/>
      <c r="C330" s="2"/>
    </row>
    <row r="331" ht="16.5" customHeight="1">
      <c r="B331" s="2"/>
      <c r="C331" s="2"/>
    </row>
    <row r="332" ht="16.5" customHeight="1">
      <c r="B332" s="2"/>
      <c r="C332" s="2"/>
    </row>
    <row r="333" ht="16.5" customHeight="1">
      <c r="B333" s="2"/>
      <c r="C333" s="2"/>
    </row>
    <row r="334" ht="16.5" customHeight="1">
      <c r="B334" s="2"/>
      <c r="C334" s="2"/>
    </row>
    <row r="335" ht="16.5" customHeight="1">
      <c r="B335" s="2"/>
      <c r="C335" s="2"/>
    </row>
    <row r="336" ht="16.5" customHeight="1">
      <c r="B336" s="2"/>
      <c r="C336" s="2"/>
    </row>
    <row r="337" ht="16.5" customHeight="1">
      <c r="B337" s="2"/>
      <c r="C337" s="2"/>
    </row>
    <row r="338" ht="16.5" customHeight="1">
      <c r="B338" s="2"/>
      <c r="C338" s="2"/>
    </row>
    <row r="339" ht="16.5" customHeight="1">
      <c r="B339" s="2"/>
      <c r="C339" s="2"/>
    </row>
    <row r="340" ht="16.5" customHeight="1">
      <c r="B340" s="2"/>
      <c r="C340" s="2"/>
    </row>
    <row r="341" ht="16.5" customHeight="1">
      <c r="B341" s="2"/>
      <c r="C341" s="2"/>
    </row>
    <row r="342" ht="16.5" customHeight="1">
      <c r="B342" s="2"/>
      <c r="C342" s="2"/>
    </row>
    <row r="343" ht="16.5" customHeight="1">
      <c r="B343" s="2"/>
      <c r="C343" s="2"/>
    </row>
    <row r="344" ht="16.5" customHeight="1">
      <c r="B344" s="2"/>
      <c r="C344" s="2"/>
    </row>
    <row r="345" ht="16.5" customHeight="1">
      <c r="B345" s="2"/>
      <c r="C345" s="2"/>
    </row>
    <row r="346" ht="16.5" customHeight="1">
      <c r="B346" s="2"/>
      <c r="C346" s="2"/>
    </row>
    <row r="347" ht="16.5" customHeight="1">
      <c r="B347" s="2"/>
      <c r="C347" s="2"/>
    </row>
    <row r="348" ht="16.5" customHeight="1">
      <c r="B348" s="2"/>
      <c r="C348" s="2"/>
    </row>
    <row r="349" ht="16.5" customHeight="1">
      <c r="B349" s="2"/>
      <c r="C349" s="2"/>
    </row>
    <row r="350" ht="16.5" customHeight="1">
      <c r="B350" s="2"/>
      <c r="C350" s="2"/>
    </row>
    <row r="351" ht="16.5" customHeight="1">
      <c r="B351" s="2"/>
      <c r="C351" s="2"/>
    </row>
    <row r="352" ht="16.5" customHeight="1">
      <c r="B352" s="2"/>
      <c r="C352" s="2"/>
    </row>
    <row r="353" ht="16.5" customHeight="1">
      <c r="B353" s="2"/>
      <c r="C353" s="2"/>
    </row>
    <row r="354" ht="16.5" customHeight="1">
      <c r="B354" s="2"/>
      <c r="C354" s="2"/>
    </row>
    <row r="355" ht="16.5" customHeight="1">
      <c r="B355" s="2"/>
      <c r="C355" s="2"/>
    </row>
    <row r="356" ht="16.5" customHeight="1">
      <c r="B356" s="2"/>
      <c r="C356" s="2"/>
    </row>
    <row r="357" ht="16.5" customHeight="1">
      <c r="B357" s="2"/>
      <c r="C357" s="2"/>
    </row>
    <row r="358" ht="16.5" customHeight="1">
      <c r="B358" s="2"/>
      <c r="C358" s="2"/>
    </row>
    <row r="359" ht="16.5" customHeight="1">
      <c r="B359" s="2"/>
      <c r="C359" s="2"/>
    </row>
    <row r="360" ht="16.5" customHeight="1">
      <c r="B360" s="2"/>
      <c r="C360" s="2"/>
    </row>
    <row r="361" ht="16.5" customHeight="1">
      <c r="B361" s="2"/>
      <c r="C361" s="2"/>
    </row>
    <row r="362" ht="16.5" customHeight="1">
      <c r="B362" s="2"/>
      <c r="C362" s="2"/>
    </row>
    <row r="363" ht="16.5" customHeight="1">
      <c r="B363" s="2"/>
      <c r="C363" s="2"/>
    </row>
    <row r="364" ht="16.5" customHeight="1">
      <c r="B364" s="2"/>
      <c r="C364" s="2"/>
    </row>
    <row r="365" ht="16.5" customHeight="1">
      <c r="B365" s="2"/>
      <c r="C365" s="2"/>
    </row>
    <row r="366" ht="16.5" customHeight="1">
      <c r="B366" s="2"/>
      <c r="C366" s="2"/>
    </row>
    <row r="367" ht="16.5" customHeight="1">
      <c r="B367" s="2"/>
      <c r="C367" s="2"/>
    </row>
    <row r="368" ht="16.5" customHeight="1">
      <c r="B368" s="2"/>
      <c r="C368" s="2"/>
    </row>
    <row r="369" ht="16.5" customHeight="1">
      <c r="B369" s="2"/>
      <c r="C369" s="2"/>
    </row>
    <row r="370" ht="16.5" customHeight="1">
      <c r="B370" s="2"/>
      <c r="C370" s="2"/>
    </row>
    <row r="371" ht="16.5" customHeight="1">
      <c r="B371" s="2"/>
      <c r="C371" s="2"/>
    </row>
    <row r="372" ht="16.5" customHeight="1">
      <c r="B372" s="2"/>
      <c r="C372" s="2"/>
    </row>
    <row r="373" ht="16.5" customHeight="1">
      <c r="B373" s="2"/>
      <c r="C373" s="2"/>
    </row>
    <row r="374" ht="16.5" customHeight="1">
      <c r="B374" s="2"/>
      <c r="C374" s="2"/>
    </row>
    <row r="375" ht="16.5" customHeight="1">
      <c r="B375" s="2"/>
      <c r="C375" s="2"/>
    </row>
    <row r="376" ht="16.5" customHeight="1">
      <c r="B376" s="2"/>
      <c r="C376" s="2"/>
    </row>
    <row r="377" ht="16.5" customHeight="1">
      <c r="B377" s="2"/>
      <c r="C377" s="2"/>
    </row>
    <row r="378" ht="16.5" customHeight="1">
      <c r="B378" s="2"/>
      <c r="C378" s="2"/>
    </row>
    <row r="379" ht="16.5" customHeight="1">
      <c r="B379" s="2"/>
      <c r="C379" s="2"/>
    </row>
    <row r="380" ht="16.5" customHeight="1">
      <c r="B380" s="2"/>
      <c r="C380" s="2"/>
    </row>
    <row r="381" ht="16.5" customHeight="1">
      <c r="B381" s="2"/>
      <c r="C381" s="2"/>
    </row>
    <row r="382" ht="16.5" customHeight="1">
      <c r="B382" s="2"/>
      <c r="C382" s="2"/>
    </row>
    <row r="383" ht="16.5" customHeight="1">
      <c r="B383" s="2"/>
      <c r="C383" s="2"/>
    </row>
    <row r="384" ht="16.5" customHeight="1">
      <c r="B384" s="2"/>
      <c r="C384" s="2"/>
    </row>
    <row r="385" ht="16.5" customHeight="1">
      <c r="B385" s="2"/>
      <c r="C385" s="2"/>
    </row>
    <row r="386" ht="16.5" customHeight="1">
      <c r="B386" s="2"/>
      <c r="C386" s="2"/>
    </row>
    <row r="387" ht="16.5" customHeight="1">
      <c r="B387" s="2"/>
      <c r="C387" s="2"/>
    </row>
    <row r="388" ht="16.5" customHeight="1">
      <c r="B388" s="2"/>
      <c r="C388" s="2"/>
    </row>
    <row r="389" ht="16.5" customHeight="1">
      <c r="B389" s="2"/>
      <c r="C389" s="2"/>
    </row>
    <row r="390" ht="16.5" customHeight="1">
      <c r="B390" s="2"/>
      <c r="C390" s="2"/>
    </row>
    <row r="391" ht="16.5" customHeight="1">
      <c r="B391" s="2"/>
      <c r="C391" s="2"/>
    </row>
    <row r="392" ht="16.5" customHeight="1">
      <c r="B392" s="2"/>
      <c r="C392" s="2"/>
    </row>
    <row r="393" ht="16.5" customHeight="1">
      <c r="B393" s="2"/>
      <c r="C393" s="2"/>
    </row>
    <row r="394" ht="16.5" customHeight="1">
      <c r="B394" s="2"/>
      <c r="C394" s="2"/>
    </row>
    <row r="395" ht="16.5" customHeight="1">
      <c r="B395" s="2"/>
      <c r="C395" s="2"/>
    </row>
    <row r="396" ht="16.5" customHeight="1">
      <c r="B396" s="2"/>
      <c r="C396" s="2"/>
    </row>
    <row r="397" ht="16.5" customHeight="1">
      <c r="B397" s="2"/>
      <c r="C397" s="2"/>
    </row>
    <row r="398" ht="16.5" customHeight="1">
      <c r="B398" s="2"/>
      <c r="C398" s="2"/>
    </row>
    <row r="399" ht="16.5" customHeight="1">
      <c r="B399" s="2"/>
      <c r="C399" s="2"/>
    </row>
    <row r="400" ht="16.5" customHeight="1">
      <c r="B400" s="2"/>
      <c r="C400" s="2"/>
    </row>
    <row r="401" ht="16.5" customHeight="1">
      <c r="B401" s="2"/>
      <c r="C401" s="2"/>
    </row>
    <row r="402" ht="16.5" customHeight="1">
      <c r="B402" s="2"/>
      <c r="C402" s="2"/>
    </row>
    <row r="403" ht="16.5" customHeight="1">
      <c r="B403" s="2"/>
      <c r="C403" s="2"/>
    </row>
    <row r="404" ht="16.5" customHeight="1">
      <c r="B404" s="2"/>
      <c r="C404" s="2"/>
    </row>
    <row r="405" ht="16.5" customHeight="1">
      <c r="B405" s="2"/>
      <c r="C405" s="2"/>
    </row>
    <row r="406" ht="16.5" customHeight="1">
      <c r="B406" s="2"/>
      <c r="C406" s="2"/>
    </row>
    <row r="407" ht="16.5" customHeight="1">
      <c r="B407" s="2"/>
      <c r="C407" s="2"/>
    </row>
    <row r="408" ht="16.5" customHeight="1">
      <c r="B408" s="2"/>
      <c r="C408" s="2"/>
    </row>
    <row r="409" ht="16.5" customHeight="1">
      <c r="B409" s="2"/>
      <c r="C409" s="2"/>
    </row>
    <row r="410" ht="16.5" customHeight="1">
      <c r="B410" s="2"/>
      <c r="C410" s="2"/>
    </row>
    <row r="411" ht="16.5" customHeight="1">
      <c r="B411" s="2"/>
      <c r="C411" s="2"/>
    </row>
    <row r="412" ht="16.5" customHeight="1">
      <c r="B412" s="2"/>
      <c r="C412" s="2"/>
    </row>
    <row r="413" ht="16.5" customHeight="1">
      <c r="B413" s="2"/>
      <c r="C413" s="2"/>
    </row>
    <row r="414" ht="16.5" customHeight="1">
      <c r="B414" s="2"/>
      <c r="C414" s="2"/>
    </row>
    <row r="415" ht="16.5" customHeight="1">
      <c r="B415" s="2"/>
      <c r="C415" s="2"/>
    </row>
    <row r="416" ht="16.5" customHeight="1">
      <c r="B416" s="2"/>
      <c r="C416" s="2"/>
    </row>
    <row r="417" ht="16.5" customHeight="1">
      <c r="B417" s="2"/>
      <c r="C417" s="2"/>
    </row>
    <row r="418" ht="16.5" customHeight="1">
      <c r="B418" s="2"/>
      <c r="C418" s="2"/>
    </row>
    <row r="419" ht="16.5" customHeight="1">
      <c r="B419" s="2"/>
      <c r="C419" s="2"/>
    </row>
    <row r="420" ht="16.5" customHeight="1">
      <c r="B420" s="2"/>
      <c r="C420" s="2"/>
    </row>
    <row r="421" ht="16.5" customHeight="1">
      <c r="B421" s="2"/>
      <c r="C421" s="2"/>
    </row>
    <row r="422" ht="16.5" customHeight="1">
      <c r="B422" s="2"/>
      <c r="C422" s="2"/>
    </row>
    <row r="423" ht="16.5" customHeight="1">
      <c r="B423" s="2"/>
      <c r="C423" s="2"/>
    </row>
    <row r="424" ht="16.5" customHeight="1">
      <c r="B424" s="2"/>
      <c r="C424" s="2"/>
    </row>
    <row r="425" ht="16.5" customHeight="1">
      <c r="B425" s="2"/>
      <c r="C425" s="2"/>
    </row>
    <row r="426" ht="16.5" customHeight="1">
      <c r="B426" s="2"/>
      <c r="C426" s="2"/>
    </row>
    <row r="427" ht="16.5" customHeight="1">
      <c r="B427" s="2"/>
      <c r="C427" s="2"/>
    </row>
    <row r="428" ht="16.5" customHeight="1">
      <c r="B428" s="2"/>
      <c r="C428" s="2"/>
    </row>
    <row r="429" ht="16.5" customHeight="1">
      <c r="B429" s="2"/>
      <c r="C429" s="2"/>
    </row>
    <row r="430" ht="16.5" customHeight="1">
      <c r="B430" s="2"/>
      <c r="C430" s="2"/>
    </row>
    <row r="431" ht="16.5" customHeight="1">
      <c r="B431" s="2"/>
      <c r="C431" s="2"/>
    </row>
    <row r="432" ht="16.5" customHeight="1">
      <c r="B432" s="2"/>
      <c r="C432" s="2"/>
    </row>
    <row r="433" ht="16.5" customHeight="1">
      <c r="B433" s="2"/>
      <c r="C433" s="2"/>
    </row>
    <row r="434" ht="16.5" customHeight="1">
      <c r="B434" s="2"/>
      <c r="C434" s="2"/>
    </row>
    <row r="435" ht="16.5" customHeight="1">
      <c r="B435" s="2"/>
      <c r="C435" s="2"/>
    </row>
    <row r="436" ht="16.5" customHeight="1">
      <c r="B436" s="2"/>
      <c r="C436" s="2"/>
    </row>
    <row r="437" ht="16.5" customHeight="1">
      <c r="B437" s="2"/>
      <c r="C437" s="2"/>
    </row>
    <row r="438" ht="16.5" customHeight="1">
      <c r="B438" s="2"/>
      <c r="C438" s="2"/>
    </row>
    <row r="439" ht="16.5" customHeight="1">
      <c r="B439" s="2"/>
      <c r="C439" s="2"/>
    </row>
    <row r="440" ht="16.5" customHeight="1">
      <c r="B440" s="2"/>
      <c r="C440" s="2"/>
    </row>
    <row r="441" ht="16.5" customHeight="1">
      <c r="B441" s="2"/>
      <c r="C441" s="2"/>
    </row>
    <row r="442" ht="16.5" customHeight="1">
      <c r="B442" s="2"/>
      <c r="C442" s="2"/>
    </row>
    <row r="443" ht="16.5" customHeight="1">
      <c r="B443" s="2"/>
      <c r="C443" s="2"/>
    </row>
    <row r="444" ht="16.5" customHeight="1">
      <c r="B444" s="2"/>
      <c r="C444" s="2"/>
    </row>
    <row r="445" ht="16.5" customHeight="1">
      <c r="B445" s="2"/>
      <c r="C445" s="2"/>
    </row>
    <row r="446" ht="16.5" customHeight="1">
      <c r="B446" s="2"/>
      <c r="C446" s="2"/>
    </row>
    <row r="447" ht="16.5" customHeight="1">
      <c r="B447" s="2"/>
      <c r="C447" s="2"/>
    </row>
    <row r="448" ht="16.5" customHeight="1">
      <c r="B448" s="2"/>
      <c r="C448" s="2"/>
    </row>
    <row r="449" ht="16.5" customHeight="1">
      <c r="B449" s="2"/>
      <c r="C449" s="2"/>
    </row>
    <row r="450" ht="16.5" customHeight="1">
      <c r="B450" s="2"/>
      <c r="C450" s="2"/>
    </row>
    <row r="451" ht="16.5" customHeight="1">
      <c r="B451" s="2"/>
      <c r="C451" s="2"/>
    </row>
    <row r="452" ht="16.5" customHeight="1">
      <c r="B452" s="2"/>
      <c r="C452" s="2"/>
    </row>
    <row r="453" ht="16.5" customHeight="1">
      <c r="B453" s="2"/>
      <c r="C453" s="2"/>
    </row>
    <row r="454" ht="16.5" customHeight="1">
      <c r="B454" s="2"/>
      <c r="C454" s="2"/>
    </row>
    <row r="455" ht="16.5" customHeight="1">
      <c r="B455" s="2"/>
      <c r="C455" s="2"/>
    </row>
    <row r="456" ht="16.5" customHeight="1">
      <c r="B456" s="2"/>
      <c r="C456" s="2"/>
    </row>
    <row r="457" ht="16.5" customHeight="1">
      <c r="B457" s="2"/>
      <c r="C457" s="2"/>
    </row>
    <row r="458" ht="16.5" customHeight="1">
      <c r="B458" s="2"/>
      <c r="C458" s="2"/>
    </row>
    <row r="459" ht="16.5" customHeight="1">
      <c r="B459" s="2"/>
      <c r="C459" s="2"/>
    </row>
    <row r="460" ht="16.5" customHeight="1">
      <c r="B460" s="2"/>
      <c r="C460" s="2"/>
    </row>
    <row r="461" ht="16.5" customHeight="1">
      <c r="B461" s="2"/>
      <c r="C461" s="2"/>
    </row>
    <row r="462" ht="16.5" customHeight="1">
      <c r="B462" s="2"/>
      <c r="C462" s="2"/>
    </row>
    <row r="463" ht="16.5" customHeight="1">
      <c r="B463" s="2"/>
      <c r="C463" s="2"/>
    </row>
    <row r="464" ht="16.5" customHeight="1">
      <c r="B464" s="2"/>
      <c r="C464" s="2"/>
    </row>
    <row r="465" ht="16.5" customHeight="1">
      <c r="B465" s="2"/>
      <c r="C465" s="2"/>
    </row>
    <row r="466" ht="16.5" customHeight="1">
      <c r="B466" s="2"/>
      <c r="C466" s="2"/>
    </row>
    <row r="467" ht="16.5" customHeight="1">
      <c r="B467" s="2"/>
      <c r="C467" s="2"/>
    </row>
    <row r="468" ht="16.5" customHeight="1">
      <c r="B468" s="2"/>
      <c r="C468" s="2"/>
    </row>
    <row r="469" ht="16.5" customHeight="1">
      <c r="B469" s="2"/>
      <c r="C469" s="2"/>
    </row>
    <row r="470" ht="16.5" customHeight="1">
      <c r="B470" s="2"/>
      <c r="C470" s="2"/>
    </row>
    <row r="471" ht="16.5" customHeight="1">
      <c r="B471" s="2"/>
      <c r="C471" s="2"/>
    </row>
    <row r="472" ht="16.5" customHeight="1">
      <c r="B472" s="2"/>
      <c r="C472" s="2"/>
    </row>
    <row r="473" ht="16.5" customHeight="1">
      <c r="B473" s="2"/>
      <c r="C473" s="2"/>
    </row>
    <row r="474" ht="16.5" customHeight="1">
      <c r="B474" s="2"/>
      <c r="C474" s="2"/>
    </row>
    <row r="475" ht="16.5" customHeight="1">
      <c r="B475" s="2"/>
      <c r="C475" s="2"/>
    </row>
    <row r="476" ht="16.5" customHeight="1">
      <c r="B476" s="2"/>
      <c r="C476" s="2"/>
    </row>
    <row r="477" ht="16.5" customHeight="1">
      <c r="B477" s="2"/>
      <c r="C477" s="2"/>
    </row>
    <row r="478" ht="16.5" customHeight="1">
      <c r="B478" s="2"/>
      <c r="C478" s="2"/>
    </row>
    <row r="479" ht="16.5" customHeight="1">
      <c r="B479" s="2"/>
      <c r="C479" s="2"/>
    </row>
    <row r="480" ht="16.5" customHeight="1">
      <c r="B480" s="2"/>
      <c r="C480" s="2"/>
    </row>
    <row r="481" ht="16.5" customHeight="1">
      <c r="B481" s="2"/>
      <c r="C481" s="2"/>
    </row>
    <row r="482" ht="16.5" customHeight="1">
      <c r="B482" s="2"/>
      <c r="C482" s="2"/>
    </row>
    <row r="483" ht="16.5" customHeight="1">
      <c r="B483" s="2"/>
      <c r="C483" s="2"/>
    </row>
    <row r="484" ht="16.5" customHeight="1">
      <c r="B484" s="2"/>
      <c r="C484" s="2"/>
    </row>
    <row r="485" ht="16.5" customHeight="1">
      <c r="B485" s="2"/>
      <c r="C485" s="2"/>
    </row>
    <row r="486" ht="16.5" customHeight="1">
      <c r="B486" s="2"/>
      <c r="C486" s="2"/>
    </row>
    <row r="487" ht="16.5" customHeight="1">
      <c r="B487" s="2"/>
      <c r="C487" s="2"/>
    </row>
    <row r="488" ht="16.5" customHeight="1">
      <c r="B488" s="2"/>
      <c r="C488" s="2"/>
    </row>
    <row r="489" ht="16.5" customHeight="1">
      <c r="B489" s="2"/>
      <c r="C489" s="2"/>
    </row>
    <row r="490" ht="16.5" customHeight="1">
      <c r="B490" s="2"/>
      <c r="C490" s="2"/>
    </row>
    <row r="491" ht="16.5" customHeight="1">
      <c r="B491" s="2"/>
      <c r="C491" s="2"/>
    </row>
    <row r="492" ht="16.5" customHeight="1">
      <c r="B492" s="2"/>
      <c r="C492" s="2"/>
    </row>
    <row r="493" ht="16.5" customHeight="1">
      <c r="B493" s="2"/>
      <c r="C493" s="2"/>
    </row>
    <row r="494" ht="16.5" customHeight="1">
      <c r="B494" s="2"/>
      <c r="C494" s="2"/>
    </row>
    <row r="495" ht="16.5" customHeight="1">
      <c r="B495" s="2"/>
      <c r="C495" s="2"/>
    </row>
    <row r="496" ht="16.5" customHeight="1">
      <c r="B496" s="2"/>
      <c r="C496" s="2"/>
    </row>
    <row r="497" ht="16.5" customHeight="1">
      <c r="B497" s="2"/>
      <c r="C497" s="2"/>
    </row>
    <row r="498" ht="16.5" customHeight="1">
      <c r="B498" s="2"/>
      <c r="C498" s="2"/>
    </row>
    <row r="499" ht="16.5" customHeight="1">
      <c r="B499" s="2"/>
      <c r="C499" s="2"/>
    </row>
    <row r="500" ht="16.5" customHeight="1">
      <c r="B500" s="2"/>
      <c r="C500" s="2"/>
    </row>
    <row r="501" ht="16.5" customHeight="1">
      <c r="B501" s="2"/>
      <c r="C501" s="2"/>
    </row>
    <row r="502" ht="16.5" customHeight="1">
      <c r="B502" s="2"/>
      <c r="C502" s="2"/>
    </row>
    <row r="503" ht="16.5" customHeight="1">
      <c r="B503" s="2"/>
      <c r="C503" s="2"/>
    </row>
    <row r="504" ht="16.5" customHeight="1">
      <c r="B504" s="2"/>
      <c r="C504" s="2"/>
    </row>
    <row r="505" ht="16.5" customHeight="1">
      <c r="B505" s="2"/>
      <c r="C505" s="2"/>
    </row>
    <row r="506" ht="16.5" customHeight="1">
      <c r="B506" s="2"/>
      <c r="C506" s="2"/>
    </row>
    <row r="507" ht="16.5" customHeight="1">
      <c r="B507" s="2"/>
      <c r="C507" s="2"/>
    </row>
    <row r="508" ht="16.5" customHeight="1">
      <c r="B508" s="2"/>
      <c r="C508" s="2"/>
    </row>
    <row r="509" ht="16.5" customHeight="1">
      <c r="B509" s="2"/>
      <c r="C509" s="2"/>
    </row>
    <row r="510" ht="16.5" customHeight="1">
      <c r="B510" s="2"/>
      <c r="C510" s="2"/>
    </row>
    <row r="511" ht="16.5" customHeight="1">
      <c r="B511" s="2"/>
      <c r="C511" s="2"/>
    </row>
    <row r="512" ht="16.5" customHeight="1">
      <c r="B512" s="2"/>
      <c r="C512" s="2"/>
    </row>
    <row r="513" ht="16.5" customHeight="1">
      <c r="B513" s="2"/>
      <c r="C513" s="2"/>
    </row>
    <row r="514" ht="16.5" customHeight="1">
      <c r="B514" s="2"/>
      <c r="C514" s="2"/>
    </row>
    <row r="515" ht="16.5" customHeight="1">
      <c r="B515" s="2"/>
      <c r="C515" s="2"/>
    </row>
    <row r="516" ht="16.5" customHeight="1">
      <c r="B516" s="2"/>
      <c r="C516" s="2"/>
    </row>
    <row r="517" ht="16.5" customHeight="1">
      <c r="B517" s="2"/>
      <c r="C517" s="2"/>
    </row>
    <row r="518" ht="16.5" customHeight="1">
      <c r="B518" s="2"/>
      <c r="C518" s="2"/>
    </row>
    <row r="519" ht="16.5" customHeight="1">
      <c r="B519" s="2"/>
      <c r="C519" s="2"/>
    </row>
    <row r="520" ht="16.5" customHeight="1">
      <c r="B520" s="2"/>
      <c r="C520" s="2"/>
    </row>
    <row r="521" ht="16.5" customHeight="1">
      <c r="B521" s="2"/>
      <c r="C521" s="2"/>
    </row>
    <row r="522" ht="16.5" customHeight="1">
      <c r="B522" s="2"/>
      <c r="C522" s="2"/>
    </row>
    <row r="523" ht="16.5" customHeight="1">
      <c r="B523" s="2"/>
      <c r="C523" s="2"/>
    </row>
    <row r="524" ht="16.5" customHeight="1">
      <c r="B524" s="2"/>
      <c r="C524" s="2"/>
    </row>
    <row r="525" ht="16.5" customHeight="1">
      <c r="B525" s="2"/>
      <c r="C525" s="2"/>
    </row>
    <row r="526" ht="16.5" customHeight="1">
      <c r="B526" s="2"/>
      <c r="C526" s="2"/>
    </row>
    <row r="527" ht="16.5" customHeight="1">
      <c r="B527" s="2"/>
      <c r="C527" s="2"/>
    </row>
    <row r="528" ht="16.5" customHeight="1">
      <c r="B528" s="2"/>
      <c r="C528" s="2"/>
    </row>
    <row r="529" ht="16.5" customHeight="1">
      <c r="B529" s="2"/>
      <c r="C529" s="2"/>
    </row>
    <row r="530" ht="16.5" customHeight="1">
      <c r="B530" s="2"/>
      <c r="C530" s="2"/>
    </row>
    <row r="531" ht="16.5" customHeight="1">
      <c r="B531" s="2"/>
      <c r="C531" s="2"/>
    </row>
    <row r="532" ht="16.5" customHeight="1">
      <c r="B532" s="2"/>
      <c r="C532" s="2"/>
    </row>
    <row r="533" ht="16.5" customHeight="1">
      <c r="B533" s="2"/>
      <c r="C533" s="2"/>
    </row>
    <row r="534" ht="16.5" customHeight="1">
      <c r="B534" s="2"/>
      <c r="C534" s="2"/>
    </row>
    <row r="535" ht="16.5" customHeight="1">
      <c r="B535" s="2"/>
      <c r="C535" s="2"/>
    </row>
    <row r="536" ht="16.5" customHeight="1">
      <c r="B536" s="2"/>
      <c r="C536" s="2"/>
    </row>
    <row r="537" ht="16.5" customHeight="1">
      <c r="B537" s="2"/>
      <c r="C537" s="2"/>
    </row>
    <row r="538" ht="16.5" customHeight="1">
      <c r="B538" s="2"/>
      <c r="C538" s="2"/>
    </row>
    <row r="539" ht="16.5" customHeight="1">
      <c r="B539" s="2"/>
      <c r="C539" s="2"/>
    </row>
    <row r="540" ht="16.5" customHeight="1">
      <c r="B540" s="2"/>
      <c r="C540" s="2"/>
    </row>
    <row r="541" ht="16.5" customHeight="1">
      <c r="B541" s="2"/>
      <c r="C541" s="2"/>
    </row>
    <row r="542" ht="16.5" customHeight="1">
      <c r="B542" s="2"/>
      <c r="C542" s="2"/>
    </row>
    <row r="543" ht="16.5" customHeight="1">
      <c r="B543" s="2"/>
      <c r="C543" s="2"/>
    </row>
    <row r="544" ht="16.5" customHeight="1">
      <c r="B544" s="2"/>
      <c r="C544" s="2"/>
    </row>
    <row r="545" ht="16.5" customHeight="1">
      <c r="B545" s="2"/>
      <c r="C545" s="2"/>
    </row>
    <row r="546" ht="16.5" customHeight="1">
      <c r="B546" s="2"/>
      <c r="C546" s="2"/>
    </row>
    <row r="547" ht="16.5" customHeight="1">
      <c r="B547" s="2"/>
      <c r="C547" s="2"/>
    </row>
    <row r="548" ht="16.5" customHeight="1">
      <c r="B548" s="2"/>
      <c r="C548" s="2"/>
    </row>
    <row r="549" ht="16.5" customHeight="1">
      <c r="B549" s="2"/>
      <c r="C549" s="2"/>
    </row>
    <row r="550" ht="16.5" customHeight="1">
      <c r="B550" s="2"/>
      <c r="C550" s="2"/>
    </row>
    <row r="551" ht="16.5" customHeight="1">
      <c r="B551" s="2"/>
      <c r="C551" s="2"/>
    </row>
    <row r="552" ht="16.5" customHeight="1">
      <c r="B552" s="2"/>
      <c r="C552" s="2"/>
    </row>
    <row r="553" ht="16.5" customHeight="1">
      <c r="B553" s="2"/>
      <c r="C553" s="2"/>
    </row>
    <row r="554" ht="16.5" customHeight="1">
      <c r="B554" s="2"/>
      <c r="C554" s="2"/>
    </row>
    <row r="555" ht="16.5" customHeight="1">
      <c r="B555" s="2"/>
      <c r="C555" s="2"/>
    </row>
    <row r="556" ht="16.5" customHeight="1">
      <c r="B556" s="2"/>
      <c r="C556" s="2"/>
    </row>
    <row r="557" ht="16.5" customHeight="1">
      <c r="B557" s="2"/>
      <c r="C557" s="2"/>
    </row>
    <row r="558" ht="16.5" customHeight="1">
      <c r="B558" s="2"/>
      <c r="C558" s="2"/>
    </row>
    <row r="559" ht="16.5" customHeight="1">
      <c r="B559" s="2"/>
      <c r="C559" s="2"/>
    </row>
    <row r="560" ht="16.5" customHeight="1">
      <c r="B560" s="2"/>
      <c r="C560" s="2"/>
    </row>
    <row r="561" ht="16.5" customHeight="1">
      <c r="B561" s="2"/>
      <c r="C561" s="2"/>
    </row>
    <row r="562" ht="16.5" customHeight="1">
      <c r="B562" s="2"/>
      <c r="C562" s="2"/>
    </row>
    <row r="563" ht="16.5" customHeight="1">
      <c r="B563" s="2"/>
      <c r="C563" s="2"/>
    </row>
    <row r="564" ht="16.5" customHeight="1">
      <c r="B564" s="2"/>
      <c r="C564" s="2"/>
    </row>
    <row r="565" ht="16.5" customHeight="1">
      <c r="B565" s="2"/>
      <c r="C565" s="2"/>
    </row>
    <row r="566" ht="16.5" customHeight="1">
      <c r="B566" s="2"/>
      <c r="C566" s="2"/>
    </row>
    <row r="567" ht="16.5" customHeight="1">
      <c r="B567" s="2"/>
      <c r="C567" s="2"/>
    </row>
    <row r="568" ht="16.5" customHeight="1">
      <c r="B568" s="2"/>
      <c r="C568" s="2"/>
    </row>
    <row r="569" ht="16.5" customHeight="1">
      <c r="B569" s="2"/>
      <c r="C569" s="2"/>
    </row>
    <row r="570" ht="16.5" customHeight="1">
      <c r="B570" s="2"/>
      <c r="C570" s="2"/>
    </row>
    <row r="571" ht="16.5" customHeight="1">
      <c r="B571" s="2"/>
      <c r="C571" s="2"/>
    </row>
    <row r="572" ht="16.5" customHeight="1">
      <c r="B572" s="2"/>
      <c r="C572" s="2"/>
    </row>
    <row r="573" ht="16.5" customHeight="1">
      <c r="B573" s="2"/>
      <c r="C573" s="2"/>
    </row>
    <row r="574" ht="16.5" customHeight="1">
      <c r="B574" s="2"/>
      <c r="C574" s="2"/>
    </row>
    <row r="575" ht="16.5" customHeight="1">
      <c r="B575" s="2"/>
      <c r="C575" s="2"/>
    </row>
    <row r="576" ht="16.5" customHeight="1">
      <c r="B576" s="2"/>
      <c r="C576" s="2"/>
    </row>
    <row r="577" ht="16.5" customHeight="1">
      <c r="B577" s="2"/>
      <c r="C577" s="2"/>
    </row>
    <row r="578" ht="16.5" customHeight="1">
      <c r="B578" s="2"/>
      <c r="C578" s="2"/>
    </row>
    <row r="579" ht="16.5" customHeight="1">
      <c r="B579" s="2"/>
      <c r="C579" s="2"/>
    </row>
    <row r="580" ht="16.5" customHeight="1">
      <c r="B580" s="2"/>
      <c r="C580" s="2"/>
    </row>
    <row r="581" ht="16.5" customHeight="1">
      <c r="B581" s="2"/>
      <c r="C581" s="2"/>
    </row>
    <row r="582" ht="16.5" customHeight="1">
      <c r="B582" s="2"/>
      <c r="C582" s="2"/>
    </row>
    <row r="583" ht="16.5" customHeight="1">
      <c r="B583" s="2"/>
      <c r="C583" s="2"/>
    </row>
    <row r="584" ht="16.5" customHeight="1">
      <c r="B584" s="2"/>
      <c r="C584" s="2"/>
    </row>
    <row r="585" ht="16.5" customHeight="1">
      <c r="B585" s="2"/>
      <c r="C585" s="2"/>
    </row>
    <row r="586" ht="16.5" customHeight="1">
      <c r="B586" s="2"/>
      <c r="C586" s="2"/>
    </row>
    <row r="587" ht="16.5" customHeight="1">
      <c r="B587" s="2"/>
      <c r="C587" s="2"/>
    </row>
    <row r="588" ht="16.5" customHeight="1">
      <c r="B588" s="2"/>
      <c r="C588" s="2"/>
    </row>
    <row r="589" ht="16.5" customHeight="1">
      <c r="B589" s="2"/>
      <c r="C589" s="2"/>
    </row>
    <row r="590" ht="16.5" customHeight="1">
      <c r="B590" s="2"/>
      <c r="C590" s="2"/>
    </row>
    <row r="591" ht="16.5" customHeight="1">
      <c r="B591" s="2"/>
      <c r="C591" s="2"/>
    </row>
    <row r="592" ht="16.5" customHeight="1">
      <c r="B592" s="2"/>
      <c r="C592" s="2"/>
    </row>
    <row r="593" ht="16.5" customHeight="1">
      <c r="B593" s="2"/>
      <c r="C593" s="2"/>
    </row>
    <row r="594" ht="16.5" customHeight="1">
      <c r="B594" s="2"/>
      <c r="C594" s="2"/>
    </row>
    <row r="595" ht="16.5" customHeight="1">
      <c r="B595" s="2"/>
      <c r="C595" s="2"/>
    </row>
    <row r="596" ht="16.5" customHeight="1">
      <c r="B596" s="2"/>
      <c r="C596" s="2"/>
    </row>
    <row r="597" ht="16.5" customHeight="1">
      <c r="B597" s="2"/>
      <c r="C597" s="2"/>
    </row>
    <row r="598" ht="16.5" customHeight="1">
      <c r="B598" s="2"/>
      <c r="C598" s="2"/>
    </row>
    <row r="599" ht="16.5" customHeight="1">
      <c r="B599" s="2"/>
      <c r="C599" s="2"/>
    </row>
    <row r="600" ht="16.5" customHeight="1">
      <c r="B600" s="2"/>
      <c r="C600" s="2"/>
    </row>
    <row r="601" ht="16.5" customHeight="1">
      <c r="B601" s="2"/>
      <c r="C601" s="2"/>
    </row>
    <row r="602" ht="16.5" customHeight="1">
      <c r="B602" s="2"/>
      <c r="C602" s="2"/>
    </row>
    <row r="603" ht="16.5" customHeight="1">
      <c r="B603" s="2"/>
      <c r="C603" s="2"/>
    </row>
    <row r="604" ht="16.5" customHeight="1">
      <c r="B604" s="2"/>
      <c r="C604" s="2"/>
    </row>
    <row r="605" ht="16.5" customHeight="1">
      <c r="B605" s="2"/>
      <c r="C605" s="2"/>
    </row>
    <row r="606" ht="16.5" customHeight="1">
      <c r="B606" s="2"/>
      <c r="C606" s="2"/>
    </row>
    <row r="607" ht="16.5" customHeight="1">
      <c r="B607" s="2"/>
      <c r="C607" s="2"/>
    </row>
    <row r="608" ht="16.5" customHeight="1">
      <c r="B608" s="2"/>
      <c r="C608" s="2"/>
    </row>
    <row r="609" ht="16.5" customHeight="1">
      <c r="B609" s="2"/>
      <c r="C609" s="2"/>
    </row>
    <row r="610" ht="16.5" customHeight="1">
      <c r="B610" s="2"/>
      <c r="C610" s="2"/>
    </row>
    <row r="611" ht="16.5" customHeight="1">
      <c r="B611" s="2"/>
      <c r="C611" s="2"/>
    </row>
    <row r="612" ht="16.5" customHeight="1">
      <c r="B612" s="2"/>
      <c r="C612" s="2"/>
    </row>
    <row r="613" ht="16.5" customHeight="1">
      <c r="B613" s="2"/>
      <c r="C613" s="2"/>
    </row>
    <row r="614" ht="16.5" customHeight="1">
      <c r="B614" s="2"/>
      <c r="C614" s="2"/>
    </row>
    <row r="615" ht="16.5" customHeight="1">
      <c r="B615" s="2"/>
      <c r="C615" s="2"/>
    </row>
    <row r="616" ht="16.5" customHeight="1">
      <c r="B616" s="2"/>
      <c r="C616" s="2"/>
    </row>
    <row r="617" ht="16.5" customHeight="1">
      <c r="B617" s="2"/>
      <c r="C617" s="2"/>
    </row>
    <row r="618" ht="16.5" customHeight="1">
      <c r="B618" s="2"/>
      <c r="C618" s="2"/>
    </row>
    <row r="619" ht="16.5" customHeight="1">
      <c r="B619" s="2"/>
      <c r="C619" s="2"/>
    </row>
    <row r="620" ht="16.5" customHeight="1">
      <c r="B620" s="2"/>
      <c r="C620" s="2"/>
    </row>
    <row r="621" ht="16.5" customHeight="1">
      <c r="B621" s="2"/>
      <c r="C621" s="2"/>
    </row>
    <row r="622" ht="16.5" customHeight="1">
      <c r="B622" s="2"/>
      <c r="C622" s="2"/>
    </row>
    <row r="623" ht="16.5" customHeight="1">
      <c r="B623" s="2"/>
      <c r="C623" s="2"/>
    </row>
    <row r="624" ht="16.5" customHeight="1">
      <c r="B624" s="2"/>
      <c r="C624" s="2"/>
    </row>
    <row r="625" ht="16.5" customHeight="1">
      <c r="B625" s="2"/>
      <c r="C625" s="2"/>
    </row>
    <row r="626" ht="16.5" customHeight="1">
      <c r="B626" s="2"/>
      <c r="C626" s="2"/>
    </row>
    <row r="627" ht="16.5" customHeight="1">
      <c r="B627" s="2"/>
      <c r="C627" s="2"/>
    </row>
    <row r="628" ht="16.5" customHeight="1">
      <c r="B628" s="2"/>
      <c r="C628" s="2"/>
    </row>
    <row r="629" ht="16.5" customHeight="1">
      <c r="B629" s="2"/>
      <c r="C629" s="2"/>
    </row>
    <row r="630" ht="16.5" customHeight="1">
      <c r="B630" s="2"/>
      <c r="C630" s="2"/>
    </row>
    <row r="631" ht="16.5" customHeight="1">
      <c r="B631" s="2"/>
      <c r="C631" s="2"/>
    </row>
    <row r="632" ht="16.5" customHeight="1">
      <c r="B632" s="2"/>
      <c r="C632" s="2"/>
    </row>
    <row r="633" ht="16.5" customHeight="1">
      <c r="B633" s="2"/>
      <c r="C633" s="2"/>
    </row>
    <row r="634" ht="16.5" customHeight="1">
      <c r="B634" s="2"/>
      <c r="C634" s="2"/>
    </row>
    <row r="635" ht="16.5" customHeight="1">
      <c r="B635" s="2"/>
      <c r="C635" s="2"/>
    </row>
    <row r="636" ht="16.5" customHeight="1">
      <c r="B636" s="2"/>
      <c r="C636" s="2"/>
    </row>
    <row r="637" ht="16.5" customHeight="1">
      <c r="B637" s="2"/>
      <c r="C637" s="2"/>
    </row>
    <row r="638" ht="16.5" customHeight="1">
      <c r="B638" s="2"/>
      <c r="C638" s="2"/>
    </row>
    <row r="639" ht="16.5" customHeight="1">
      <c r="B639" s="2"/>
      <c r="C639" s="2"/>
    </row>
    <row r="640" ht="16.5" customHeight="1">
      <c r="B640" s="2"/>
      <c r="C640" s="2"/>
    </row>
    <row r="641" ht="16.5" customHeight="1">
      <c r="B641" s="2"/>
      <c r="C641" s="2"/>
    </row>
    <row r="642" ht="16.5" customHeight="1">
      <c r="B642" s="2"/>
      <c r="C642" s="2"/>
    </row>
    <row r="643" ht="16.5" customHeight="1">
      <c r="B643" s="2"/>
      <c r="C643" s="2"/>
    </row>
    <row r="644" ht="16.5" customHeight="1">
      <c r="B644" s="2"/>
      <c r="C644" s="2"/>
    </row>
    <row r="645" ht="16.5" customHeight="1">
      <c r="B645" s="2"/>
      <c r="C645" s="2"/>
    </row>
    <row r="646" ht="16.5" customHeight="1">
      <c r="B646" s="2"/>
      <c r="C646" s="2"/>
    </row>
    <row r="647" ht="16.5" customHeight="1">
      <c r="B647" s="2"/>
      <c r="C647" s="2"/>
    </row>
    <row r="648" ht="16.5" customHeight="1">
      <c r="B648" s="2"/>
      <c r="C648" s="2"/>
    </row>
    <row r="649" ht="16.5" customHeight="1">
      <c r="B649" s="2"/>
      <c r="C649" s="2"/>
    </row>
    <row r="650" ht="16.5" customHeight="1">
      <c r="B650" s="2"/>
      <c r="C650" s="2"/>
    </row>
    <row r="651" ht="16.5" customHeight="1">
      <c r="B651" s="2"/>
      <c r="C651" s="2"/>
    </row>
    <row r="652" ht="16.5" customHeight="1">
      <c r="B652" s="2"/>
      <c r="C652" s="2"/>
    </row>
    <row r="653" ht="16.5" customHeight="1">
      <c r="B653" s="2"/>
      <c r="C653" s="2"/>
    </row>
    <row r="654" ht="16.5" customHeight="1">
      <c r="B654" s="2"/>
      <c r="C654" s="2"/>
    </row>
    <row r="655" ht="16.5" customHeight="1">
      <c r="B655" s="2"/>
      <c r="C655" s="2"/>
    </row>
    <row r="656" ht="16.5" customHeight="1">
      <c r="B656" s="2"/>
      <c r="C656" s="2"/>
    </row>
    <row r="657" ht="16.5" customHeight="1">
      <c r="B657" s="2"/>
      <c r="C657" s="2"/>
    </row>
    <row r="658" ht="16.5" customHeight="1">
      <c r="B658" s="2"/>
      <c r="C658" s="2"/>
    </row>
    <row r="659" ht="16.5" customHeight="1">
      <c r="B659" s="2"/>
      <c r="C659" s="2"/>
    </row>
    <row r="660" ht="16.5" customHeight="1">
      <c r="B660" s="2"/>
      <c r="C660" s="2"/>
    </row>
    <row r="661" ht="16.5" customHeight="1">
      <c r="B661" s="2"/>
      <c r="C661" s="2"/>
    </row>
    <row r="662" ht="16.5" customHeight="1">
      <c r="B662" s="2"/>
      <c r="C662" s="2"/>
    </row>
    <row r="663" ht="16.5" customHeight="1">
      <c r="B663" s="2"/>
      <c r="C663" s="2"/>
    </row>
    <row r="664" ht="16.5" customHeight="1">
      <c r="B664" s="2"/>
      <c r="C664" s="2"/>
    </row>
    <row r="665" ht="16.5" customHeight="1">
      <c r="B665" s="2"/>
      <c r="C665" s="2"/>
    </row>
    <row r="666" ht="16.5" customHeight="1">
      <c r="B666" s="2"/>
      <c r="C666" s="2"/>
    </row>
    <row r="667" ht="16.5" customHeight="1">
      <c r="B667" s="2"/>
      <c r="C667" s="2"/>
    </row>
    <row r="668" ht="16.5" customHeight="1">
      <c r="B668" s="2"/>
      <c r="C668" s="2"/>
    </row>
    <row r="669" ht="16.5" customHeight="1">
      <c r="B669" s="2"/>
      <c r="C669" s="2"/>
    </row>
    <row r="670" ht="16.5" customHeight="1">
      <c r="B670" s="2"/>
      <c r="C670" s="2"/>
    </row>
    <row r="671" ht="16.5" customHeight="1">
      <c r="B671" s="2"/>
      <c r="C671" s="2"/>
    </row>
    <row r="672" ht="16.5" customHeight="1">
      <c r="B672" s="2"/>
      <c r="C672" s="2"/>
    </row>
    <row r="673" ht="16.5" customHeight="1">
      <c r="B673" s="2"/>
      <c r="C673" s="2"/>
    </row>
    <row r="674" ht="16.5" customHeight="1">
      <c r="B674" s="2"/>
      <c r="C674" s="2"/>
    </row>
    <row r="675" ht="16.5" customHeight="1">
      <c r="B675" s="2"/>
      <c r="C675" s="2"/>
    </row>
    <row r="676" ht="16.5" customHeight="1">
      <c r="B676" s="2"/>
      <c r="C676" s="2"/>
    </row>
    <row r="677" ht="16.5" customHeight="1">
      <c r="B677" s="2"/>
      <c r="C677" s="2"/>
    </row>
    <row r="678" ht="16.5" customHeight="1">
      <c r="B678" s="2"/>
      <c r="C678" s="2"/>
    </row>
    <row r="679" ht="16.5" customHeight="1">
      <c r="B679" s="2"/>
      <c r="C679" s="2"/>
    </row>
    <row r="680" ht="16.5" customHeight="1">
      <c r="B680" s="2"/>
      <c r="C680" s="2"/>
    </row>
    <row r="681" ht="16.5" customHeight="1">
      <c r="B681" s="2"/>
      <c r="C681" s="2"/>
    </row>
    <row r="682" ht="16.5" customHeight="1">
      <c r="B682" s="2"/>
      <c r="C682" s="2"/>
    </row>
    <row r="683" ht="16.5" customHeight="1">
      <c r="B683" s="2"/>
      <c r="C683" s="2"/>
    </row>
    <row r="684" ht="16.5" customHeight="1">
      <c r="B684" s="2"/>
      <c r="C684" s="2"/>
    </row>
    <row r="685" ht="16.5" customHeight="1">
      <c r="B685" s="2"/>
      <c r="C685" s="2"/>
    </row>
    <row r="686" ht="16.5" customHeight="1">
      <c r="B686" s="2"/>
      <c r="C686" s="2"/>
    </row>
    <row r="687" ht="16.5" customHeight="1">
      <c r="B687" s="2"/>
      <c r="C687" s="2"/>
    </row>
    <row r="688" ht="16.5" customHeight="1">
      <c r="B688" s="2"/>
      <c r="C688" s="2"/>
    </row>
    <row r="689" ht="16.5" customHeight="1">
      <c r="B689" s="2"/>
      <c r="C689" s="2"/>
    </row>
    <row r="690" ht="16.5" customHeight="1">
      <c r="B690" s="2"/>
      <c r="C690" s="2"/>
    </row>
    <row r="691" ht="16.5" customHeight="1">
      <c r="B691" s="2"/>
      <c r="C691" s="2"/>
    </row>
    <row r="692" ht="16.5" customHeight="1">
      <c r="B692" s="2"/>
      <c r="C692" s="2"/>
    </row>
    <row r="693" ht="16.5" customHeight="1">
      <c r="B693" s="2"/>
      <c r="C693" s="2"/>
    </row>
    <row r="694" ht="16.5" customHeight="1">
      <c r="B694" s="2"/>
      <c r="C694" s="2"/>
    </row>
    <row r="695" ht="16.5" customHeight="1">
      <c r="B695" s="2"/>
      <c r="C695" s="2"/>
    </row>
    <row r="696" ht="16.5" customHeight="1">
      <c r="B696" s="2"/>
      <c r="C696" s="2"/>
    </row>
    <row r="697" ht="16.5" customHeight="1">
      <c r="B697" s="2"/>
      <c r="C697" s="2"/>
    </row>
    <row r="698" ht="16.5" customHeight="1">
      <c r="B698" s="2"/>
      <c r="C698" s="2"/>
    </row>
    <row r="699" ht="16.5" customHeight="1">
      <c r="B699" s="2"/>
      <c r="C699" s="2"/>
    </row>
    <row r="700" ht="16.5" customHeight="1">
      <c r="B700" s="2"/>
      <c r="C700" s="2"/>
    </row>
    <row r="701" ht="16.5" customHeight="1">
      <c r="B701" s="2"/>
      <c r="C701" s="2"/>
    </row>
    <row r="702" ht="16.5" customHeight="1">
      <c r="B702" s="2"/>
      <c r="C702" s="2"/>
    </row>
    <row r="703" ht="16.5" customHeight="1">
      <c r="B703" s="2"/>
      <c r="C703" s="2"/>
    </row>
    <row r="704" ht="16.5" customHeight="1">
      <c r="B704" s="2"/>
      <c r="C704" s="2"/>
    </row>
    <row r="705" ht="16.5" customHeight="1">
      <c r="B705" s="2"/>
      <c r="C705" s="2"/>
    </row>
    <row r="706" ht="16.5" customHeight="1">
      <c r="B706" s="2"/>
      <c r="C706" s="2"/>
    </row>
    <row r="707" ht="16.5" customHeight="1">
      <c r="B707" s="2"/>
      <c r="C707" s="2"/>
    </row>
    <row r="708" ht="16.5" customHeight="1">
      <c r="B708" s="2"/>
      <c r="C708" s="2"/>
    </row>
    <row r="709" ht="16.5" customHeight="1">
      <c r="B709" s="2"/>
      <c r="C709" s="2"/>
    </row>
    <row r="710" ht="16.5" customHeight="1">
      <c r="B710" s="2"/>
      <c r="C710" s="2"/>
    </row>
    <row r="711" ht="16.5" customHeight="1">
      <c r="B711" s="2"/>
      <c r="C711" s="2"/>
    </row>
    <row r="712" ht="16.5" customHeight="1">
      <c r="B712" s="2"/>
      <c r="C712" s="2"/>
    </row>
    <row r="713" ht="16.5" customHeight="1">
      <c r="B713" s="2"/>
      <c r="C713" s="2"/>
    </row>
    <row r="714" ht="16.5" customHeight="1">
      <c r="B714" s="2"/>
      <c r="C714" s="2"/>
    </row>
    <row r="715" ht="16.5" customHeight="1">
      <c r="B715" s="2"/>
      <c r="C715" s="2"/>
    </row>
    <row r="716" ht="16.5" customHeight="1">
      <c r="B716" s="2"/>
      <c r="C716" s="2"/>
    </row>
    <row r="717" ht="16.5" customHeight="1">
      <c r="B717" s="2"/>
      <c r="C717" s="2"/>
    </row>
    <row r="718" ht="16.5" customHeight="1">
      <c r="B718" s="2"/>
      <c r="C718" s="2"/>
    </row>
    <row r="719" ht="16.5" customHeight="1">
      <c r="B719" s="2"/>
      <c r="C719" s="2"/>
    </row>
    <row r="720" ht="16.5" customHeight="1">
      <c r="B720" s="2"/>
      <c r="C720" s="2"/>
    </row>
    <row r="721" ht="16.5" customHeight="1">
      <c r="B721" s="2"/>
      <c r="C721" s="2"/>
    </row>
    <row r="722" ht="16.5" customHeight="1">
      <c r="B722" s="2"/>
      <c r="C722" s="2"/>
    </row>
    <row r="723" ht="16.5" customHeight="1">
      <c r="B723" s="2"/>
      <c r="C723" s="2"/>
    </row>
    <row r="724" ht="16.5" customHeight="1">
      <c r="B724" s="2"/>
      <c r="C724" s="2"/>
    </row>
    <row r="725" ht="16.5" customHeight="1">
      <c r="B725" s="2"/>
      <c r="C725" s="2"/>
    </row>
    <row r="726" ht="16.5" customHeight="1">
      <c r="B726" s="2"/>
      <c r="C726" s="2"/>
    </row>
    <row r="727" ht="16.5" customHeight="1">
      <c r="B727" s="2"/>
      <c r="C727" s="2"/>
    </row>
    <row r="728" ht="16.5" customHeight="1">
      <c r="B728" s="2"/>
      <c r="C728" s="2"/>
    </row>
    <row r="729" ht="16.5" customHeight="1">
      <c r="B729" s="2"/>
      <c r="C729" s="2"/>
    </row>
    <row r="730" ht="16.5" customHeight="1">
      <c r="B730" s="2"/>
      <c r="C730" s="2"/>
    </row>
    <row r="731" ht="16.5" customHeight="1">
      <c r="B731" s="2"/>
      <c r="C731" s="2"/>
    </row>
    <row r="732" ht="16.5" customHeight="1">
      <c r="B732" s="2"/>
      <c r="C732" s="2"/>
    </row>
    <row r="733" ht="16.5" customHeight="1">
      <c r="B733" s="2"/>
      <c r="C733" s="2"/>
    </row>
    <row r="734" ht="16.5" customHeight="1">
      <c r="B734" s="2"/>
      <c r="C734" s="2"/>
    </row>
    <row r="735" ht="16.5" customHeight="1">
      <c r="B735" s="2"/>
      <c r="C735" s="2"/>
    </row>
    <row r="736" ht="16.5" customHeight="1">
      <c r="B736" s="2"/>
      <c r="C736" s="2"/>
    </row>
    <row r="737" ht="16.5" customHeight="1">
      <c r="B737" s="2"/>
      <c r="C737" s="2"/>
    </row>
    <row r="738" ht="16.5" customHeight="1">
      <c r="B738" s="2"/>
      <c r="C738" s="2"/>
    </row>
    <row r="739" ht="16.5" customHeight="1">
      <c r="B739" s="2"/>
      <c r="C739" s="2"/>
    </row>
    <row r="740" ht="16.5" customHeight="1">
      <c r="B740" s="2"/>
      <c r="C740" s="2"/>
    </row>
    <row r="741" ht="16.5" customHeight="1">
      <c r="B741" s="2"/>
      <c r="C741" s="2"/>
    </row>
    <row r="742" ht="16.5" customHeight="1">
      <c r="B742" s="2"/>
      <c r="C742" s="2"/>
    </row>
    <row r="743" ht="16.5" customHeight="1">
      <c r="B743" s="2"/>
      <c r="C743" s="2"/>
    </row>
    <row r="744" ht="16.5" customHeight="1">
      <c r="B744" s="2"/>
      <c r="C744" s="2"/>
    </row>
    <row r="745" ht="16.5" customHeight="1">
      <c r="B745" s="2"/>
      <c r="C745" s="2"/>
    </row>
    <row r="746" ht="16.5" customHeight="1">
      <c r="B746" s="2"/>
      <c r="C746" s="2"/>
    </row>
    <row r="747" ht="16.5" customHeight="1">
      <c r="B747" s="2"/>
      <c r="C747" s="2"/>
    </row>
    <row r="748" ht="16.5" customHeight="1">
      <c r="B748" s="2"/>
      <c r="C748" s="2"/>
    </row>
    <row r="749" ht="16.5" customHeight="1">
      <c r="B749" s="2"/>
      <c r="C749" s="2"/>
    </row>
    <row r="750" ht="16.5" customHeight="1">
      <c r="B750" s="2"/>
      <c r="C750" s="2"/>
    </row>
    <row r="751" ht="16.5" customHeight="1">
      <c r="B751" s="2"/>
      <c r="C751" s="2"/>
    </row>
    <row r="752" ht="16.5" customHeight="1">
      <c r="B752" s="2"/>
      <c r="C752" s="2"/>
    </row>
    <row r="753" ht="16.5" customHeight="1">
      <c r="B753" s="2"/>
      <c r="C753" s="2"/>
    </row>
    <row r="754" ht="16.5" customHeight="1">
      <c r="B754" s="2"/>
      <c r="C754" s="2"/>
    </row>
    <row r="755" ht="16.5" customHeight="1">
      <c r="B755" s="2"/>
      <c r="C755" s="2"/>
    </row>
    <row r="756" ht="16.5" customHeight="1">
      <c r="B756" s="2"/>
      <c r="C756" s="2"/>
    </row>
    <row r="757" ht="16.5" customHeight="1">
      <c r="B757" s="2"/>
      <c r="C757" s="2"/>
    </row>
    <row r="758" ht="16.5" customHeight="1">
      <c r="B758" s="2"/>
      <c r="C758" s="2"/>
    </row>
    <row r="759" ht="16.5" customHeight="1">
      <c r="B759" s="2"/>
      <c r="C759" s="2"/>
    </row>
    <row r="760" ht="16.5" customHeight="1">
      <c r="B760" s="2"/>
      <c r="C760" s="2"/>
    </row>
    <row r="761" ht="16.5" customHeight="1">
      <c r="B761" s="2"/>
      <c r="C761" s="2"/>
    </row>
    <row r="762" ht="16.5" customHeight="1">
      <c r="B762" s="2"/>
      <c r="C762" s="2"/>
    </row>
    <row r="763" ht="16.5" customHeight="1">
      <c r="B763" s="2"/>
      <c r="C763" s="2"/>
    </row>
    <row r="764" ht="16.5" customHeight="1">
      <c r="B764" s="2"/>
      <c r="C764" s="2"/>
    </row>
    <row r="765" ht="16.5" customHeight="1">
      <c r="B765" s="2"/>
      <c r="C765" s="2"/>
    </row>
    <row r="766" ht="16.5" customHeight="1">
      <c r="B766" s="2"/>
      <c r="C766" s="2"/>
    </row>
    <row r="767" ht="16.5" customHeight="1">
      <c r="B767" s="2"/>
      <c r="C767" s="2"/>
    </row>
    <row r="768" ht="16.5" customHeight="1">
      <c r="B768" s="2"/>
      <c r="C768" s="2"/>
    </row>
    <row r="769" ht="16.5" customHeight="1">
      <c r="B769" s="2"/>
      <c r="C769" s="2"/>
    </row>
    <row r="770" ht="16.5" customHeight="1">
      <c r="B770" s="2"/>
      <c r="C770" s="2"/>
    </row>
    <row r="771" ht="16.5" customHeight="1">
      <c r="B771" s="2"/>
      <c r="C771" s="2"/>
    </row>
    <row r="772" ht="16.5" customHeight="1">
      <c r="B772" s="2"/>
      <c r="C772" s="2"/>
    </row>
    <row r="773" ht="16.5" customHeight="1">
      <c r="B773" s="2"/>
      <c r="C773" s="2"/>
    </row>
    <row r="774" ht="16.5" customHeight="1">
      <c r="B774" s="2"/>
      <c r="C774" s="2"/>
    </row>
    <row r="775" ht="16.5" customHeight="1">
      <c r="B775" s="2"/>
      <c r="C775" s="2"/>
    </row>
    <row r="776" ht="16.5" customHeight="1">
      <c r="B776" s="2"/>
      <c r="C776" s="2"/>
    </row>
    <row r="777" ht="16.5" customHeight="1">
      <c r="B777" s="2"/>
      <c r="C777" s="2"/>
    </row>
    <row r="778" ht="16.5" customHeight="1">
      <c r="B778" s="2"/>
      <c r="C778" s="2"/>
    </row>
    <row r="779" ht="16.5" customHeight="1">
      <c r="B779" s="2"/>
      <c r="C779" s="2"/>
    </row>
    <row r="780" ht="16.5" customHeight="1">
      <c r="B780" s="2"/>
      <c r="C780" s="2"/>
    </row>
    <row r="781" ht="16.5" customHeight="1">
      <c r="B781" s="2"/>
      <c r="C781" s="2"/>
    </row>
    <row r="782" ht="16.5" customHeight="1">
      <c r="B782" s="2"/>
      <c r="C782" s="2"/>
    </row>
    <row r="783" ht="16.5" customHeight="1">
      <c r="B783" s="2"/>
      <c r="C783" s="2"/>
    </row>
    <row r="784" ht="16.5" customHeight="1">
      <c r="B784" s="2"/>
      <c r="C784" s="2"/>
    </row>
    <row r="785" ht="16.5" customHeight="1">
      <c r="B785" s="2"/>
      <c r="C785" s="2"/>
    </row>
    <row r="786" ht="16.5" customHeight="1">
      <c r="B786" s="2"/>
      <c r="C786" s="2"/>
    </row>
    <row r="787" ht="16.5" customHeight="1">
      <c r="B787" s="2"/>
      <c r="C787" s="2"/>
    </row>
    <row r="788" ht="16.5" customHeight="1">
      <c r="B788" s="2"/>
      <c r="C788" s="2"/>
    </row>
    <row r="789" ht="16.5" customHeight="1">
      <c r="B789" s="2"/>
      <c r="C789" s="2"/>
    </row>
    <row r="790" ht="16.5" customHeight="1">
      <c r="B790" s="2"/>
      <c r="C790" s="2"/>
    </row>
    <row r="791" ht="16.5" customHeight="1">
      <c r="B791" s="2"/>
      <c r="C791" s="2"/>
    </row>
    <row r="792" ht="16.5" customHeight="1">
      <c r="B792" s="2"/>
      <c r="C792" s="2"/>
    </row>
    <row r="793" ht="16.5" customHeight="1">
      <c r="B793" s="2"/>
      <c r="C793" s="2"/>
    </row>
    <row r="794" ht="16.5" customHeight="1">
      <c r="B794" s="2"/>
      <c r="C794" s="2"/>
    </row>
    <row r="795" ht="16.5" customHeight="1">
      <c r="B795" s="2"/>
      <c r="C795" s="2"/>
    </row>
    <row r="796" ht="16.5" customHeight="1">
      <c r="B796" s="2"/>
      <c r="C796" s="2"/>
    </row>
    <row r="797" ht="16.5" customHeight="1">
      <c r="B797" s="2"/>
      <c r="C797" s="2"/>
    </row>
    <row r="798" ht="16.5" customHeight="1">
      <c r="B798" s="2"/>
      <c r="C798" s="2"/>
    </row>
    <row r="799" ht="16.5" customHeight="1">
      <c r="B799" s="2"/>
      <c r="C799" s="2"/>
    </row>
    <row r="800" ht="16.5" customHeight="1">
      <c r="B800" s="2"/>
      <c r="C800" s="2"/>
    </row>
    <row r="801" ht="16.5" customHeight="1">
      <c r="B801" s="2"/>
      <c r="C801" s="2"/>
    </row>
    <row r="802" ht="16.5" customHeight="1">
      <c r="B802" s="2"/>
      <c r="C802" s="2"/>
    </row>
    <row r="803" ht="16.5" customHeight="1">
      <c r="B803" s="2"/>
      <c r="C803" s="2"/>
    </row>
    <row r="804" ht="16.5" customHeight="1">
      <c r="B804" s="2"/>
      <c r="C804" s="2"/>
    </row>
    <row r="805" ht="16.5" customHeight="1">
      <c r="B805" s="2"/>
      <c r="C805" s="2"/>
    </row>
    <row r="806" ht="16.5" customHeight="1">
      <c r="B806" s="2"/>
      <c r="C806" s="2"/>
    </row>
    <row r="807" ht="16.5" customHeight="1">
      <c r="B807" s="2"/>
      <c r="C807" s="2"/>
    </row>
    <row r="808" ht="16.5" customHeight="1">
      <c r="B808" s="2"/>
      <c r="C808" s="2"/>
    </row>
    <row r="809" ht="16.5" customHeight="1">
      <c r="B809" s="2"/>
      <c r="C809" s="2"/>
    </row>
    <row r="810" ht="16.5" customHeight="1">
      <c r="B810" s="2"/>
      <c r="C810" s="2"/>
    </row>
    <row r="811" ht="16.5" customHeight="1">
      <c r="B811" s="2"/>
      <c r="C811" s="2"/>
    </row>
    <row r="812" ht="16.5" customHeight="1">
      <c r="B812" s="2"/>
      <c r="C812" s="2"/>
    </row>
    <row r="813" ht="16.5" customHeight="1">
      <c r="B813" s="2"/>
      <c r="C813" s="2"/>
    </row>
    <row r="814" ht="16.5" customHeight="1">
      <c r="B814" s="2"/>
      <c r="C814" s="2"/>
    </row>
    <row r="815" ht="16.5" customHeight="1">
      <c r="B815" s="2"/>
      <c r="C815" s="2"/>
    </row>
    <row r="816" ht="16.5" customHeight="1">
      <c r="B816" s="2"/>
      <c r="C816" s="2"/>
    </row>
    <row r="817" ht="16.5" customHeight="1">
      <c r="B817" s="2"/>
      <c r="C817" s="2"/>
    </row>
    <row r="818" ht="16.5" customHeight="1">
      <c r="B818" s="2"/>
      <c r="C818" s="2"/>
    </row>
    <row r="819" ht="16.5" customHeight="1">
      <c r="B819" s="2"/>
      <c r="C819" s="2"/>
    </row>
    <row r="820" ht="16.5" customHeight="1">
      <c r="B820" s="2"/>
      <c r="C820" s="2"/>
    </row>
    <row r="821" ht="16.5" customHeight="1">
      <c r="B821" s="2"/>
      <c r="C821" s="2"/>
    </row>
    <row r="822" ht="16.5" customHeight="1">
      <c r="B822" s="2"/>
      <c r="C822" s="2"/>
    </row>
    <row r="823" ht="16.5" customHeight="1">
      <c r="B823" s="2"/>
      <c r="C823" s="2"/>
    </row>
    <row r="824" ht="16.5" customHeight="1">
      <c r="B824" s="2"/>
      <c r="C824" s="2"/>
    </row>
    <row r="825" ht="16.5" customHeight="1">
      <c r="B825" s="2"/>
      <c r="C825" s="2"/>
    </row>
    <row r="826" ht="16.5" customHeight="1">
      <c r="B826" s="2"/>
      <c r="C826" s="2"/>
    </row>
    <row r="827" ht="16.5" customHeight="1">
      <c r="B827" s="2"/>
      <c r="C827" s="2"/>
    </row>
    <row r="828" ht="16.5" customHeight="1">
      <c r="B828" s="2"/>
      <c r="C828" s="2"/>
    </row>
    <row r="829" ht="16.5" customHeight="1">
      <c r="B829" s="2"/>
      <c r="C829" s="2"/>
    </row>
    <row r="830" ht="16.5" customHeight="1">
      <c r="B830" s="2"/>
      <c r="C830" s="2"/>
    </row>
    <row r="831" ht="16.5" customHeight="1">
      <c r="B831" s="2"/>
      <c r="C831" s="2"/>
    </row>
    <row r="832" ht="16.5" customHeight="1">
      <c r="B832" s="2"/>
      <c r="C832" s="2"/>
    </row>
    <row r="833" ht="16.5" customHeight="1">
      <c r="B833" s="2"/>
      <c r="C833" s="2"/>
    </row>
    <row r="834" ht="16.5" customHeight="1">
      <c r="B834" s="2"/>
      <c r="C834" s="2"/>
    </row>
    <row r="835" ht="16.5" customHeight="1">
      <c r="B835" s="2"/>
      <c r="C835" s="2"/>
    </row>
    <row r="836" ht="16.5" customHeight="1">
      <c r="B836" s="2"/>
      <c r="C836" s="2"/>
    </row>
    <row r="837" ht="16.5" customHeight="1">
      <c r="B837" s="2"/>
      <c r="C837" s="2"/>
    </row>
    <row r="838" ht="16.5" customHeight="1">
      <c r="B838" s="2"/>
      <c r="C838" s="2"/>
    </row>
    <row r="839" ht="16.5" customHeight="1">
      <c r="B839" s="2"/>
      <c r="C839" s="2"/>
    </row>
    <row r="840" ht="16.5" customHeight="1">
      <c r="B840" s="2"/>
      <c r="C840" s="2"/>
    </row>
    <row r="841" ht="16.5" customHeight="1">
      <c r="B841" s="2"/>
      <c r="C841" s="2"/>
    </row>
    <row r="842" ht="16.5" customHeight="1">
      <c r="B842" s="2"/>
      <c r="C842" s="2"/>
    </row>
    <row r="843" ht="16.5" customHeight="1">
      <c r="B843" s="2"/>
      <c r="C843" s="2"/>
    </row>
    <row r="844" ht="16.5" customHeight="1">
      <c r="B844" s="2"/>
      <c r="C844" s="2"/>
    </row>
    <row r="845" ht="16.5" customHeight="1">
      <c r="B845" s="2"/>
      <c r="C845" s="2"/>
    </row>
    <row r="846" ht="16.5" customHeight="1">
      <c r="B846" s="2"/>
      <c r="C846" s="2"/>
    </row>
    <row r="847" ht="16.5" customHeight="1">
      <c r="B847" s="2"/>
      <c r="C847" s="2"/>
    </row>
    <row r="848" ht="16.5" customHeight="1">
      <c r="B848" s="2"/>
      <c r="C848" s="2"/>
    </row>
    <row r="849" ht="16.5" customHeight="1">
      <c r="B849" s="2"/>
      <c r="C849" s="2"/>
    </row>
    <row r="850" ht="16.5" customHeight="1">
      <c r="B850" s="2"/>
      <c r="C850" s="2"/>
    </row>
    <row r="851" ht="16.5" customHeight="1">
      <c r="B851" s="2"/>
      <c r="C851" s="2"/>
    </row>
    <row r="852" ht="16.5" customHeight="1">
      <c r="B852" s="2"/>
      <c r="C852" s="2"/>
    </row>
    <row r="853" ht="16.5" customHeight="1">
      <c r="B853" s="2"/>
      <c r="C853" s="2"/>
    </row>
    <row r="854" ht="16.5" customHeight="1">
      <c r="B854" s="2"/>
      <c r="C854" s="2"/>
    </row>
    <row r="855" ht="16.5" customHeight="1">
      <c r="B855" s="2"/>
      <c r="C855" s="2"/>
    </row>
    <row r="856" ht="16.5" customHeight="1">
      <c r="B856" s="2"/>
      <c r="C856" s="2"/>
    </row>
    <row r="857" ht="16.5" customHeight="1">
      <c r="B857" s="2"/>
      <c r="C857" s="2"/>
    </row>
    <row r="858" ht="16.5" customHeight="1">
      <c r="B858" s="2"/>
      <c r="C858" s="2"/>
    </row>
    <row r="859" ht="16.5" customHeight="1">
      <c r="B859" s="2"/>
      <c r="C859" s="2"/>
    </row>
    <row r="860" ht="16.5" customHeight="1">
      <c r="B860" s="2"/>
      <c r="C860" s="2"/>
    </row>
    <row r="861" ht="16.5" customHeight="1">
      <c r="B861" s="2"/>
      <c r="C861" s="2"/>
    </row>
    <row r="862" ht="16.5" customHeight="1">
      <c r="B862" s="2"/>
      <c r="C862" s="2"/>
    </row>
    <row r="863" ht="16.5" customHeight="1">
      <c r="B863" s="2"/>
      <c r="C863" s="2"/>
    </row>
    <row r="864" ht="16.5" customHeight="1">
      <c r="B864" s="2"/>
      <c r="C864" s="2"/>
    </row>
    <row r="865" ht="16.5" customHeight="1">
      <c r="B865" s="2"/>
      <c r="C865" s="2"/>
    </row>
    <row r="866" ht="16.5" customHeight="1">
      <c r="B866" s="2"/>
      <c r="C866" s="2"/>
    </row>
    <row r="867" ht="16.5" customHeight="1">
      <c r="B867" s="2"/>
      <c r="C867" s="2"/>
    </row>
    <row r="868" ht="16.5" customHeight="1">
      <c r="B868" s="2"/>
      <c r="C868" s="2"/>
    </row>
    <row r="869" ht="16.5" customHeight="1">
      <c r="B869" s="2"/>
      <c r="C869" s="2"/>
    </row>
    <row r="870" ht="16.5" customHeight="1">
      <c r="B870" s="2"/>
      <c r="C870" s="2"/>
    </row>
    <row r="871" ht="16.5" customHeight="1">
      <c r="B871" s="2"/>
      <c r="C871" s="2"/>
    </row>
    <row r="872" ht="16.5" customHeight="1">
      <c r="B872" s="2"/>
      <c r="C872" s="2"/>
    </row>
    <row r="873" ht="16.5" customHeight="1">
      <c r="B873" s="2"/>
      <c r="C873" s="2"/>
    </row>
    <row r="874" ht="16.5" customHeight="1">
      <c r="B874" s="2"/>
      <c r="C874" s="2"/>
    </row>
    <row r="875" ht="16.5" customHeight="1">
      <c r="B875" s="2"/>
      <c r="C875" s="2"/>
    </row>
    <row r="876" ht="16.5" customHeight="1">
      <c r="B876" s="2"/>
      <c r="C876" s="2"/>
    </row>
    <row r="877" ht="16.5" customHeight="1">
      <c r="B877" s="2"/>
      <c r="C877" s="2"/>
    </row>
    <row r="878" ht="16.5" customHeight="1">
      <c r="B878" s="2"/>
      <c r="C878" s="2"/>
    </row>
    <row r="879" ht="16.5" customHeight="1">
      <c r="B879" s="2"/>
      <c r="C879" s="2"/>
    </row>
    <row r="880" ht="16.5" customHeight="1">
      <c r="B880" s="2"/>
      <c r="C880" s="2"/>
    </row>
    <row r="881" ht="16.5" customHeight="1">
      <c r="B881" s="2"/>
      <c r="C881" s="2"/>
    </row>
    <row r="882" ht="16.5" customHeight="1">
      <c r="B882" s="2"/>
      <c r="C882" s="2"/>
    </row>
    <row r="883" ht="16.5" customHeight="1">
      <c r="B883" s="2"/>
      <c r="C883" s="2"/>
    </row>
    <row r="884" ht="16.5" customHeight="1">
      <c r="B884" s="2"/>
      <c r="C884" s="2"/>
    </row>
    <row r="885" ht="16.5" customHeight="1">
      <c r="B885" s="2"/>
      <c r="C885" s="2"/>
    </row>
    <row r="886" ht="16.5" customHeight="1">
      <c r="B886" s="2"/>
      <c r="C886" s="2"/>
    </row>
    <row r="887" ht="16.5" customHeight="1">
      <c r="B887" s="2"/>
      <c r="C887" s="2"/>
    </row>
    <row r="888" ht="16.5" customHeight="1">
      <c r="B888" s="2"/>
      <c r="C888" s="2"/>
    </row>
    <row r="889" ht="16.5" customHeight="1">
      <c r="B889" s="2"/>
      <c r="C889" s="2"/>
    </row>
    <row r="890" ht="16.5" customHeight="1">
      <c r="B890" s="2"/>
      <c r="C890" s="2"/>
    </row>
    <row r="891" ht="16.5" customHeight="1">
      <c r="B891" s="2"/>
      <c r="C891" s="2"/>
    </row>
    <row r="892" ht="16.5" customHeight="1">
      <c r="B892" s="2"/>
      <c r="C892" s="2"/>
    </row>
    <row r="893" ht="16.5" customHeight="1">
      <c r="B893" s="2"/>
      <c r="C893" s="2"/>
    </row>
    <row r="894" ht="16.5" customHeight="1">
      <c r="B894" s="2"/>
      <c r="C894" s="2"/>
    </row>
    <row r="895" ht="16.5" customHeight="1">
      <c r="B895" s="2"/>
      <c r="C895" s="2"/>
    </row>
    <row r="896" ht="16.5" customHeight="1">
      <c r="B896" s="2"/>
      <c r="C896" s="2"/>
    </row>
    <row r="897" ht="16.5" customHeight="1">
      <c r="B897" s="2"/>
      <c r="C897" s="2"/>
    </row>
    <row r="898" ht="16.5" customHeight="1">
      <c r="B898" s="2"/>
      <c r="C898" s="2"/>
    </row>
    <row r="899" ht="16.5" customHeight="1">
      <c r="B899" s="2"/>
      <c r="C899" s="2"/>
    </row>
    <row r="900" ht="16.5" customHeight="1">
      <c r="B900" s="2"/>
      <c r="C900" s="2"/>
    </row>
    <row r="901" ht="16.5" customHeight="1">
      <c r="B901" s="2"/>
      <c r="C901" s="2"/>
    </row>
    <row r="902" ht="16.5" customHeight="1">
      <c r="B902" s="2"/>
      <c r="C902" s="2"/>
    </row>
    <row r="903" ht="16.5" customHeight="1">
      <c r="B903" s="2"/>
      <c r="C903" s="2"/>
    </row>
    <row r="904" ht="16.5" customHeight="1">
      <c r="B904" s="2"/>
      <c r="C904" s="2"/>
    </row>
    <row r="905" ht="16.5" customHeight="1">
      <c r="B905" s="2"/>
      <c r="C905" s="2"/>
    </row>
    <row r="906" ht="16.5" customHeight="1">
      <c r="B906" s="2"/>
      <c r="C906" s="2"/>
    </row>
    <row r="907" ht="16.5" customHeight="1">
      <c r="B907" s="2"/>
      <c r="C907" s="2"/>
    </row>
    <row r="908" ht="16.5" customHeight="1">
      <c r="B908" s="2"/>
      <c r="C908" s="2"/>
    </row>
    <row r="909" ht="16.5" customHeight="1">
      <c r="B909" s="2"/>
      <c r="C909" s="2"/>
    </row>
    <row r="910" ht="16.5" customHeight="1">
      <c r="B910" s="2"/>
      <c r="C910" s="2"/>
    </row>
    <row r="911" ht="16.5" customHeight="1">
      <c r="B911" s="2"/>
      <c r="C911" s="2"/>
    </row>
    <row r="912" ht="16.5" customHeight="1">
      <c r="B912" s="2"/>
      <c r="C912" s="2"/>
    </row>
    <row r="913" ht="16.5" customHeight="1">
      <c r="B913" s="2"/>
      <c r="C913" s="2"/>
    </row>
    <row r="914" ht="16.5" customHeight="1">
      <c r="B914" s="2"/>
      <c r="C914" s="2"/>
    </row>
    <row r="915" ht="16.5" customHeight="1">
      <c r="B915" s="2"/>
      <c r="C915" s="2"/>
    </row>
    <row r="916" ht="16.5" customHeight="1">
      <c r="B916" s="2"/>
      <c r="C916" s="2"/>
    </row>
    <row r="917" ht="16.5" customHeight="1">
      <c r="B917" s="2"/>
      <c r="C917" s="2"/>
    </row>
    <row r="918" ht="16.5" customHeight="1">
      <c r="B918" s="2"/>
      <c r="C918" s="2"/>
    </row>
    <row r="919" ht="16.5" customHeight="1">
      <c r="B919" s="2"/>
      <c r="C919" s="2"/>
    </row>
    <row r="920" ht="16.5" customHeight="1">
      <c r="B920" s="2"/>
      <c r="C920" s="2"/>
    </row>
    <row r="921" ht="16.5" customHeight="1">
      <c r="B921" s="2"/>
      <c r="C921" s="2"/>
    </row>
    <row r="922" ht="16.5" customHeight="1">
      <c r="B922" s="2"/>
      <c r="C922" s="2"/>
    </row>
    <row r="923" ht="16.5" customHeight="1">
      <c r="B923" s="2"/>
      <c r="C923" s="2"/>
    </row>
    <row r="924" ht="16.5" customHeight="1">
      <c r="B924" s="2"/>
      <c r="C924" s="2"/>
    </row>
    <row r="925" ht="16.5" customHeight="1">
      <c r="B925" s="2"/>
      <c r="C925" s="2"/>
    </row>
    <row r="926" ht="16.5" customHeight="1">
      <c r="B926" s="2"/>
      <c r="C926" s="2"/>
    </row>
    <row r="927" ht="16.5" customHeight="1">
      <c r="B927" s="2"/>
      <c r="C927" s="2"/>
    </row>
    <row r="928" ht="16.5" customHeight="1">
      <c r="B928" s="2"/>
      <c r="C928" s="2"/>
    </row>
    <row r="929" ht="16.5" customHeight="1">
      <c r="B929" s="2"/>
      <c r="C929" s="2"/>
    </row>
    <row r="930" ht="16.5" customHeight="1">
      <c r="B930" s="2"/>
      <c r="C930" s="2"/>
    </row>
    <row r="931" ht="16.5" customHeight="1">
      <c r="B931" s="2"/>
      <c r="C931" s="2"/>
    </row>
    <row r="932" ht="16.5" customHeight="1">
      <c r="B932" s="2"/>
      <c r="C932" s="2"/>
    </row>
    <row r="933" ht="16.5" customHeight="1">
      <c r="B933" s="2"/>
      <c r="C933" s="2"/>
    </row>
    <row r="934" ht="16.5" customHeight="1">
      <c r="B934" s="2"/>
      <c r="C934" s="2"/>
    </row>
    <row r="935" ht="16.5" customHeight="1">
      <c r="B935" s="2"/>
      <c r="C935" s="2"/>
    </row>
    <row r="936" ht="16.5" customHeight="1">
      <c r="B936" s="2"/>
      <c r="C936" s="2"/>
    </row>
    <row r="937" ht="16.5" customHeight="1">
      <c r="B937" s="2"/>
      <c r="C937" s="2"/>
    </row>
    <row r="938" ht="16.5" customHeight="1">
      <c r="B938" s="2"/>
      <c r="C938" s="2"/>
    </row>
    <row r="939" ht="16.5" customHeight="1">
      <c r="B939" s="2"/>
      <c r="C939" s="2"/>
    </row>
    <row r="940" ht="16.5" customHeight="1">
      <c r="B940" s="2"/>
      <c r="C940" s="2"/>
    </row>
    <row r="941" ht="16.5" customHeight="1">
      <c r="B941" s="2"/>
      <c r="C941" s="2"/>
    </row>
    <row r="942" ht="16.5" customHeight="1">
      <c r="B942" s="2"/>
      <c r="C942" s="2"/>
    </row>
    <row r="943" ht="16.5" customHeight="1">
      <c r="B943" s="2"/>
      <c r="C943" s="2"/>
    </row>
    <row r="944" ht="16.5" customHeight="1">
      <c r="B944" s="2"/>
      <c r="C944" s="2"/>
    </row>
    <row r="945" ht="16.5" customHeight="1">
      <c r="B945" s="2"/>
      <c r="C945" s="2"/>
    </row>
    <row r="946" ht="16.5" customHeight="1">
      <c r="B946" s="2"/>
      <c r="C946" s="2"/>
    </row>
    <row r="947" ht="16.5" customHeight="1">
      <c r="B947" s="2"/>
      <c r="C947" s="2"/>
    </row>
    <row r="948" ht="16.5" customHeight="1">
      <c r="B948" s="2"/>
      <c r="C948" s="2"/>
    </row>
    <row r="949" ht="16.5" customHeight="1">
      <c r="B949" s="2"/>
      <c r="C949" s="2"/>
    </row>
    <row r="950" ht="16.5" customHeight="1">
      <c r="B950" s="2"/>
      <c r="C950" s="2"/>
    </row>
    <row r="951" ht="16.5" customHeight="1">
      <c r="B951" s="2"/>
      <c r="C951" s="2"/>
    </row>
    <row r="952" ht="16.5" customHeight="1">
      <c r="B952" s="2"/>
      <c r="C952" s="2"/>
    </row>
    <row r="953" ht="16.5" customHeight="1">
      <c r="B953" s="2"/>
      <c r="C953" s="2"/>
    </row>
    <row r="954" ht="16.5" customHeight="1">
      <c r="B954" s="2"/>
      <c r="C954" s="2"/>
    </row>
    <row r="955" ht="16.5" customHeight="1">
      <c r="B955" s="2"/>
      <c r="C955" s="2"/>
    </row>
    <row r="956" ht="16.5" customHeight="1">
      <c r="B956" s="2"/>
      <c r="C956" s="2"/>
    </row>
    <row r="957" ht="16.5" customHeight="1">
      <c r="B957" s="2"/>
      <c r="C957" s="2"/>
    </row>
    <row r="958" ht="16.5" customHeight="1">
      <c r="B958" s="2"/>
      <c r="C958" s="2"/>
    </row>
    <row r="959" ht="16.5" customHeight="1">
      <c r="B959" s="2"/>
      <c r="C959" s="2"/>
    </row>
    <row r="960" ht="16.5" customHeight="1">
      <c r="B960" s="2"/>
      <c r="C960" s="2"/>
    </row>
    <row r="961" ht="16.5" customHeight="1">
      <c r="B961" s="2"/>
      <c r="C961" s="2"/>
    </row>
    <row r="962" ht="16.5" customHeight="1">
      <c r="B962" s="2"/>
      <c r="C962" s="2"/>
    </row>
    <row r="963" ht="16.5" customHeight="1">
      <c r="B963" s="2"/>
      <c r="C963" s="2"/>
    </row>
    <row r="964" ht="16.5" customHeight="1">
      <c r="B964" s="2"/>
      <c r="C964" s="2"/>
    </row>
    <row r="965" ht="16.5" customHeight="1">
      <c r="B965" s="2"/>
      <c r="C965" s="2"/>
    </row>
    <row r="966" ht="16.5" customHeight="1">
      <c r="B966" s="2"/>
      <c r="C966" s="2"/>
    </row>
    <row r="967" ht="16.5" customHeight="1">
      <c r="B967" s="2"/>
      <c r="C967" s="2"/>
    </row>
    <row r="968" ht="16.5" customHeight="1">
      <c r="B968" s="2"/>
      <c r="C968" s="2"/>
    </row>
    <row r="969" ht="16.5" customHeight="1">
      <c r="B969" s="2"/>
      <c r="C969" s="2"/>
    </row>
    <row r="970" ht="16.5" customHeight="1">
      <c r="B970" s="2"/>
      <c r="C970" s="2"/>
    </row>
    <row r="971" ht="16.5" customHeight="1">
      <c r="B971" s="2"/>
      <c r="C971" s="2"/>
    </row>
    <row r="972" ht="16.5" customHeight="1">
      <c r="B972" s="2"/>
      <c r="C972" s="2"/>
    </row>
    <row r="973" ht="16.5" customHeight="1">
      <c r="B973" s="2"/>
      <c r="C973" s="2"/>
    </row>
    <row r="974" ht="16.5" customHeight="1">
      <c r="B974" s="2"/>
      <c r="C974" s="2"/>
    </row>
    <row r="975" ht="16.5" customHeight="1">
      <c r="B975" s="2"/>
      <c r="C975" s="2"/>
    </row>
    <row r="976" ht="16.5" customHeight="1">
      <c r="B976" s="2"/>
      <c r="C976" s="2"/>
    </row>
    <row r="977" ht="16.5" customHeight="1">
      <c r="B977" s="2"/>
      <c r="C977" s="2"/>
    </row>
    <row r="978" ht="16.5" customHeight="1">
      <c r="B978" s="2"/>
      <c r="C978" s="2"/>
    </row>
    <row r="979" ht="16.5" customHeight="1">
      <c r="B979" s="2"/>
      <c r="C979" s="2"/>
    </row>
    <row r="980" ht="16.5" customHeight="1">
      <c r="B980" s="2"/>
      <c r="C980" s="2"/>
    </row>
    <row r="981" ht="16.5" customHeight="1">
      <c r="B981" s="2"/>
      <c r="C981" s="2"/>
    </row>
    <row r="982" ht="16.5" customHeight="1">
      <c r="B982" s="2"/>
      <c r="C982" s="2"/>
    </row>
    <row r="983" ht="16.5" customHeight="1">
      <c r="B983" s="2"/>
      <c r="C983" s="2"/>
    </row>
    <row r="984" ht="16.5" customHeight="1">
      <c r="B984" s="2"/>
      <c r="C984" s="2"/>
    </row>
    <row r="985" ht="16.5" customHeight="1">
      <c r="B985" s="2"/>
      <c r="C985" s="2"/>
    </row>
    <row r="986" ht="16.5" customHeight="1">
      <c r="B986" s="2"/>
      <c r="C986" s="2"/>
    </row>
    <row r="987" ht="16.5" customHeight="1">
      <c r="B987" s="2"/>
      <c r="C987" s="2"/>
    </row>
    <row r="988" ht="16.5" customHeight="1">
      <c r="B988" s="2"/>
      <c r="C988" s="2"/>
    </row>
    <row r="989" ht="16.5" customHeight="1">
      <c r="B989" s="2"/>
      <c r="C989" s="2"/>
    </row>
    <row r="990" ht="16.5" customHeight="1">
      <c r="B990" s="2"/>
      <c r="C990" s="2"/>
    </row>
    <row r="991" ht="16.5" customHeight="1">
      <c r="B991" s="2"/>
      <c r="C991" s="2"/>
    </row>
    <row r="992" ht="16.5" customHeight="1">
      <c r="B992" s="2"/>
      <c r="C992" s="2"/>
    </row>
    <row r="993" ht="16.5" customHeight="1">
      <c r="B993" s="2"/>
      <c r="C993" s="2"/>
    </row>
    <row r="994" ht="16.5" customHeight="1">
      <c r="B994" s="2"/>
      <c r="C994" s="2"/>
    </row>
    <row r="995" ht="16.5" customHeight="1">
      <c r="B995" s="2"/>
      <c r="C995" s="2"/>
    </row>
    <row r="996" ht="16.5" customHeight="1">
      <c r="B996" s="2"/>
      <c r="C996" s="2"/>
    </row>
    <row r="997" ht="16.5" customHeight="1">
      <c r="B997" s="2"/>
      <c r="C997" s="2"/>
    </row>
    <row r="998" ht="16.5" customHeight="1">
      <c r="B998" s="2"/>
      <c r="C998" s="2"/>
    </row>
    <row r="999" ht="16.5" customHeight="1">
      <c r="B999" s="2"/>
      <c r="C999" s="2"/>
    </row>
    <row r="1000" ht="16.5" customHeight="1">
      <c r="B1000" s="2"/>
      <c r="C1000" s="2"/>
    </row>
    <row r="1001" ht="16.5" customHeight="1">
      <c r="B1001" s="2"/>
      <c r="C1001" s="2"/>
    </row>
    <row r="1002" ht="16.5" customHeight="1">
      <c r="B1002" s="2"/>
      <c r="C1002" s="2"/>
    </row>
    <row r="1003" ht="16.5" customHeight="1">
      <c r="B1003" s="2"/>
      <c r="C1003" s="2"/>
    </row>
    <row r="1004" ht="16.5" customHeight="1">
      <c r="B1004" s="2"/>
      <c r="C1004" s="2"/>
    </row>
    <row r="1005" ht="16.5" customHeight="1">
      <c r="B1005" s="2"/>
      <c r="C1005" s="2"/>
    </row>
    <row r="1006" ht="16.5" customHeight="1">
      <c r="B1006" s="2"/>
      <c r="C1006" s="2"/>
    </row>
    <row r="1007" ht="16.5" customHeight="1">
      <c r="B1007" s="2"/>
      <c r="C1007" s="2"/>
    </row>
    <row r="1008" ht="16.5" customHeight="1">
      <c r="B1008" s="2"/>
      <c r="C1008" s="2"/>
    </row>
    <row r="1009" ht="16.5" customHeight="1">
      <c r="B1009" s="2"/>
      <c r="C1009" s="2"/>
    </row>
    <row r="1010" ht="16.5" customHeight="1">
      <c r="B1010" s="2"/>
      <c r="C1010" s="2"/>
    </row>
    <row r="1011" ht="16.5" customHeight="1">
      <c r="B1011" s="2"/>
      <c r="C1011" s="2"/>
    </row>
    <row r="1012" ht="16.5" customHeight="1">
      <c r="B1012" s="2"/>
      <c r="C1012" s="2"/>
    </row>
    <row r="1013" ht="16.5" customHeight="1">
      <c r="B1013" s="2"/>
      <c r="C1013" s="2"/>
    </row>
    <row r="1014" ht="16.5" customHeight="1">
      <c r="B1014" s="2"/>
      <c r="C1014" s="2"/>
    </row>
    <row r="1015" ht="16.5" customHeight="1">
      <c r="B1015" s="2"/>
      <c r="C1015" s="2"/>
    </row>
    <row r="1016" ht="16.5" customHeight="1">
      <c r="B1016" s="2"/>
      <c r="C1016" s="2"/>
    </row>
    <row r="1017" ht="16.5" customHeight="1">
      <c r="B1017" s="2"/>
      <c r="C1017" s="2"/>
    </row>
    <row r="1018" ht="16.5" customHeight="1">
      <c r="B1018" s="2"/>
      <c r="C1018" s="2"/>
    </row>
    <row r="1019" ht="16.5" customHeight="1">
      <c r="B1019" s="2"/>
      <c r="C1019" s="2"/>
    </row>
    <row r="1020" ht="16.5" customHeight="1">
      <c r="B1020" s="2"/>
      <c r="C1020" s="2"/>
    </row>
    <row r="1021" ht="16.5" customHeight="1">
      <c r="B1021" s="2"/>
      <c r="C1021" s="2"/>
    </row>
    <row r="1022" ht="16.5" customHeight="1">
      <c r="B1022" s="2"/>
      <c r="C1022" s="2"/>
    </row>
    <row r="1023" ht="16.5" customHeight="1">
      <c r="B1023" s="2"/>
      <c r="C1023" s="2"/>
    </row>
    <row r="1024" ht="16.5" customHeight="1">
      <c r="B1024" s="2"/>
      <c r="C1024" s="2"/>
    </row>
    <row r="1025" ht="16.5" customHeight="1">
      <c r="B1025" s="2"/>
      <c r="C1025" s="2"/>
    </row>
    <row r="1026" ht="16.5" customHeight="1">
      <c r="B1026" s="2"/>
      <c r="C1026" s="2"/>
    </row>
    <row r="1027" ht="16.5" customHeight="1">
      <c r="B1027" s="2"/>
      <c r="C1027" s="2"/>
    </row>
    <row r="1028" ht="16.5" customHeight="1">
      <c r="B1028" s="2"/>
      <c r="C1028" s="2"/>
    </row>
    <row r="1029" ht="16.5" customHeight="1">
      <c r="B1029" s="2"/>
      <c r="C1029" s="2"/>
    </row>
    <row r="1030" ht="16.5" customHeight="1">
      <c r="B1030" s="2"/>
      <c r="C1030" s="2"/>
    </row>
    <row r="1031" ht="16.5" customHeight="1">
      <c r="B1031" s="2"/>
      <c r="C1031" s="2"/>
    </row>
    <row r="1032" ht="16.5" customHeight="1">
      <c r="B1032" s="2"/>
      <c r="C1032" s="2"/>
    </row>
    <row r="1033" ht="16.5" customHeight="1">
      <c r="B1033" s="2"/>
      <c r="C1033" s="2"/>
    </row>
    <row r="1034" ht="16.5" customHeight="1">
      <c r="B1034" s="2"/>
      <c r="C1034" s="2"/>
    </row>
    <row r="1035" ht="16.5" customHeight="1">
      <c r="B1035" s="2"/>
      <c r="C1035" s="2"/>
    </row>
    <row r="1036" ht="16.5" customHeight="1">
      <c r="B1036" s="2"/>
      <c r="C1036" s="2"/>
    </row>
    <row r="1037" ht="16.5" customHeight="1">
      <c r="B1037" s="2"/>
      <c r="C1037" s="2"/>
    </row>
    <row r="1038" ht="16.5" customHeight="1">
      <c r="B1038" s="2"/>
      <c r="C1038" s="2"/>
    </row>
    <row r="1039" ht="16.5" customHeight="1">
      <c r="B1039" s="2"/>
      <c r="C1039" s="2"/>
    </row>
    <row r="1040" ht="16.5" customHeight="1">
      <c r="B1040" s="2"/>
      <c r="C1040" s="2"/>
    </row>
    <row r="1041" ht="16.5" customHeight="1">
      <c r="B1041" s="2"/>
      <c r="C1041" s="2"/>
    </row>
    <row r="1042" ht="16.5" customHeight="1">
      <c r="B1042" s="2"/>
      <c r="C1042" s="2"/>
    </row>
    <row r="1043" ht="16.5" customHeight="1">
      <c r="B1043" s="2"/>
      <c r="C1043" s="2"/>
    </row>
    <row r="1044" ht="16.5" customHeight="1">
      <c r="B1044" s="2"/>
      <c r="C1044" s="2"/>
    </row>
    <row r="1045" ht="16.5" customHeight="1">
      <c r="B1045" s="2"/>
      <c r="C1045" s="2"/>
    </row>
    <row r="1046" ht="16.5" customHeight="1">
      <c r="B1046" s="2"/>
      <c r="C1046" s="2"/>
    </row>
    <row r="1047" ht="16.5" customHeight="1">
      <c r="B1047" s="2"/>
      <c r="C1047" s="2"/>
    </row>
    <row r="1048" ht="16.5" customHeight="1">
      <c r="B1048" s="2"/>
      <c r="C1048" s="2"/>
    </row>
    <row r="1049" ht="16.5" customHeight="1">
      <c r="B1049" s="2"/>
      <c r="C1049" s="2"/>
    </row>
    <row r="1050" ht="16.5" customHeight="1">
      <c r="B1050" s="2"/>
      <c r="C1050" s="2"/>
    </row>
    <row r="1051" ht="16.5" customHeight="1">
      <c r="B1051" s="2"/>
      <c r="C1051" s="2"/>
    </row>
    <row r="1052" ht="16.5" customHeight="1">
      <c r="B1052" s="2"/>
      <c r="C1052" s="2"/>
    </row>
    <row r="1053" ht="16.5" customHeight="1">
      <c r="B1053" s="2"/>
      <c r="C1053" s="2"/>
    </row>
    <row r="1054" ht="16.5" customHeight="1">
      <c r="B1054" s="2"/>
      <c r="C1054" s="2"/>
    </row>
    <row r="1055" ht="16.5" customHeight="1">
      <c r="B1055" s="2"/>
      <c r="C1055" s="2"/>
    </row>
    <row r="1056" ht="16.5" customHeight="1">
      <c r="B1056" s="2"/>
      <c r="C1056" s="2"/>
    </row>
    <row r="1057" ht="16.5" customHeight="1">
      <c r="B1057" s="2"/>
      <c r="C1057" s="2"/>
    </row>
    <row r="1058" ht="16.5" customHeight="1">
      <c r="B1058" s="2"/>
      <c r="C1058" s="2"/>
    </row>
    <row r="1059" ht="16.5" customHeight="1">
      <c r="B1059" s="2"/>
      <c r="C1059" s="2"/>
    </row>
    <row r="1060" ht="16.5" customHeight="1">
      <c r="B1060" s="2"/>
      <c r="C1060" s="2"/>
    </row>
    <row r="1061" ht="16.5" customHeight="1">
      <c r="B1061" s="2"/>
      <c r="C1061" s="2"/>
    </row>
    <row r="1062" ht="16.5" customHeight="1">
      <c r="B1062" s="2"/>
      <c r="C1062" s="2"/>
    </row>
    <row r="1063" ht="16.5" customHeight="1">
      <c r="B1063" s="2"/>
      <c r="C1063" s="2"/>
    </row>
    <row r="1064" ht="16.5" customHeight="1">
      <c r="B1064" s="2"/>
      <c r="C1064" s="2"/>
    </row>
    <row r="1065" ht="16.5" customHeight="1">
      <c r="B1065" s="2"/>
      <c r="C1065" s="2"/>
    </row>
    <row r="1066" ht="16.5" customHeight="1">
      <c r="B1066" s="2"/>
      <c r="C1066" s="2"/>
    </row>
    <row r="1067" ht="16.5" customHeight="1">
      <c r="B1067" s="2"/>
      <c r="C1067" s="2"/>
    </row>
    <row r="1068" ht="16.5" customHeight="1">
      <c r="B1068" s="2"/>
      <c r="C1068" s="2"/>
    </row>
    <row r="1069" ht="16.5" customHeight="1">
      <c r="B1069" s="2"/>
      <c r="C1069" s="2"/>
    </row>
    <row r="1070" ht="16.5" customHeight="1">
      <c r="B1070" s="2"/>
      <c r="C1070" s="2"/>
    </row>
    <row r="1071" ht="16.5" customHeight="1">
      <c r="B1071" s="2"/>
      <c r="C1071" s="2"/>
    </row>
    <row r="1072" ht="16.5" customHeight="1">
      <c r="B1072" s="2"/>
      <c r="C1072" s="2"/>
    </row>
    <row r="1073" ht="16.5" customHeight="1">
      <c r="B1073" s="2"/>
      <c r="C1073" s="2"/>
    </row>
    <row r="1074" ht="16.5" customHeight="1">
      <c r="B1074" s="2"/>
      <c r="C1074" s="2"/>
    </row>
    <row r="1075" ht="16.5" customHeight="1">
      <c r="B1075" s="2"/>
      <c r="C1075" s="2"/>
    </row>
    <row r="1076" ht="16.5" customHeight="1">
      <c r="B1076" s="2"/>
      <c r="C1076" s="2"/>
    </row>
    <row r="1077" ht="16.5" customHeight="1">
      <c r="B1077" s="2"/>
      <c r="C1077" s="2"/>
    </row>
    <row r="1078" ht="16.5" customHeight="1">
      <c r="B1078" s="2"/>
      <c r="C1078" s="2"/>
    </row>
    <row r="1079" ht="16.5" customHeight="1">
      <c r="B1079" s="2"/>
      <c r="C1079" s="2"/>
    </row>
    <row r="1080" ht="16.5" customHeight="1">
      <c r="B1080" s="2"/>
      <c r="C1080" s="2"/>
    </row>
    <row r="1081" ht="16.5" customHeight="1">
      <c r="B1081" s="2"/>
      <c r="C1081" s="2"/>
    </row>
    <row r="1082" ht="16.5" customHeight="1">
      <c r="B1082" s="2"/>
      <c r="C1082" s="2"/>
    </row>
    <row r="1083" ht="16.5" customHeight="1">
      <c r="B1083" s="2"/>
      <c r="C1083" s="2"/>
    </row>
    <row r="1084" ht="16.5" customHeight="1">
      <c r="B1084" s="2"/>
      <c r="C1084" s="2"/>
    </row>
    <row r="1085" ht="16.5" customHeight="1">
      <c r="B1085" s="2"/>
      <c r="C1085" s="2"/>
    </row>
    <row r="1086" ht="16.5" customHeight="1">
      <c r="B1086" s="2"/>
      <c r="C1086" s="2"/>
    </row>
    <row r="1087" ht="16.5" customHeight="1">
      <c r="B1087" s="2"/>
      <c r="C1087" s="2"/>
    </row>
    <row r="1088" ht="16.5" customHeight="1">
      <c r="B1088" s="2"/>
      <c r="C1088" s="2"/>
    </row>
    <row r="1089" ht="16.5" customHeight="1">
      <c r="B1089" s="2"/>
      <c r="C1089" s="2"/>
    </row>
    <row r="1090" ht="16.5" customHeight="1">
      <c r="B1090" s="2"/>
      <c r="C1090" s="2"/>
    </row>
    <row r="1091" ht="16.5" customHeight="1">
      <c r="B1091" s="2"/>
      <c r="C1091" s="2"/>
    </row>
    <row r="1092" ht="16.5" customHeight="1">
      <c r="B1092" s="2"/>
      <c r="C1092" s="2"/>
    </row>
    <row r="1093" ht="16.5" customHeight="1">
      <c r="B1093" s="2"/>
      <c r="C1093" s="2"/>
    </row>
    <row r="1094" ht="16.5" customHeight="1">
      <c r="B1094" s="2"/>
      <c r="C1094" s="2"/>
    </row>
    <row r="1095" ht="16.5" customHeight="1">
      <c r="B1095" s="2"/>
      <c r="C1095" s="2"/>
    </row>
    <row r="1096" ht="16.5" customHeight="1">
      <c r="B1096" s="2"/>
      <c r="C1096" s="2"/>
    </row>
    <row r="1097" ht="16.5" customHeight="1">
      <c r="B1097" s="2"/>
      <c r="C1097" s="2"/>
    </row>
    <row r="1098" ht="16.5" customHeight="1">
      <c r="B1098" s="2"/>
      <c r="C1098" s="2"/>
    </row>
    <row r="1099" ht="16.5" customHeight="1">
      <c r="B1099" s="2"/>
      <c r="C1099" s="2"/>
    </row>
    <row r="1100" ht="16.5" customHeight="1">
      <c r="B1100" s="2"/>
      <c r="C1100" s="2"/>
    </row>
    <row r="1101" ht="16.5" customHeight="1">
      <c r="B1101" s="2"/>
      <c r="C1101" s="2"/>
    </row>
    <row r="1102" ht="16.5" customHeight="1">
      <c r="B1102" s="2"/>
      <c r="C1102" s="2"/>
    </row>
    <row r="1103" ht="16.5" customHeight="1">
      <c r="B1103" s="2"/>
      <c r="C1103" s="2"/>
    </row>
    <row r="1104" ht="16.5" customHeight="1">
      <c r="B1104" s="2"/>
      <c r="C1104" s="2"/>
    </row>
    <row r="1105" ht="16.5" customHeight="1">
      <c r="B1105" s="2"/>
      <c r="C1105" s="2"/>
    </row>
    <row r="1106" ht="16.5" customHeight="1">
      <c r="B1106" s="2"/>
      <c r="C1106" s="2"/>
    </row>
    <row r="1107" ht="16.5" customHeight="1">
      <c r="B1107" s="2"/>
      <c r="C1107" s="2"/>
    </row>
    <row r="1108" ht="16.5" customHeight="1">
      <c r="B1108" s="2"/>
      <c r="C1108" s="2"/>
    </row>
    <row r="1109" ht="16.5" customHeight="1">
      <c r="B1109" s="2"/>
      <c r="C1109" s="2"/>
    </row>
    <row r="1110" ht="16.5" customHeight="1">
      <c r="B1110" s="2"/>
      <c r="C1110" s="2"/>
    </row>
    <row r="1111" ht="16.5" customHeight="1">
      <c r="B1111" s="2"/>
      <c r="C1111" s="2"/>
    </row>
    <row r="1112" ht="16.5" customHeight="1">
      <c r="B1112" s="2"/>
      <c r="C1112" s="2"/>
    </row>
    <row r="1113" ht="16.5" customHeight="1">
      <c r="B1113" s="2"/>
      <c r="C1113" s="2"/>
    </row>
    <row r="1114" ht="16.5" customHeight="1">
      <c r="B1114" s="2"/>
      <c r="C1114" s="2"/>
    </row>
    <row r="1115" ht="16.5" customHeight="1">
      <c r="B1115" s="2"/>
      <c r="C1115" s="2"/>
    </row>
  </sheetData>
  <mergeCells count="78">
    <mergeCell ref="L63:L67"/>
    <mergeCell ref="M63:M67"/>
    <mergeCell ref="N63:N67"/>
    <mergeCell ref="O63:O67"/>
    <mergeCell ref="E63:E66"/>
    <mergeCell ref="F63:F67"/>
    <mergeCell ref="G63:G67"/>
    <mergeCell ref="H63:H67"/>
    <mergeCell ref="I63:I67"/>
    <mergeCell ref="J63:J67"/>
    <mergeCell ref="K63:K67"/>
    <mergeCell ref="E109:E111"/>
    <mergeCell ref="E113:E114"/>
    <mergeCell ref="H113:H114"/>
    <mergeCell ref="I113:I114"/>
    <mergeCell ref="K113:K114"/>
    <mergeCell ref="L113:L114"/>
    <mergeCell ref="M113:M114"/>
    <mergeCell ref="N113:N114"/>
    <mergeCell ref="P113:P114"/>
    <mergeCell ref="C109:C111"/>
    <mergeCell ref="F109:F111"/>
    <mergeCell ref="G109:G111"/>
    <mergeCell ref="H109:H111"/>
    <mergeCell ref="I109:I111"/>
    <mergeCell ref="J109:J111"/>
    <mergeCell ref="C113:C114"/>
    <mergeCell ref="J113:J114"/>
    <mergeCell ref="I115:I117"/>
    <mergeCell ref="J115:J117"/>
    <mergeCell ref="K115:K117"/>
    <mergeCell ref="L115:L117"/>
    <mergeCell ref="M115:M117"/>
    <mergeCell ref="N115:N117"/>
    <mergeCell ref="F113:F114"/>
    <mergeCell ref="G113:G114"/>
    <mergeCell ref="C115:C117"/>
    <mergeCell ref="E115:E117"/>
    <mergeCell ref="F115:F117"/>
    <mergeCell ref="G115:G117"/>
    <mergeCell ref="H115:H117"/>
    <mergeCell ref="J2:J3"/>
    <mergeCell ref="K2:K3"/>
    <mergeCell ref="L2:L3"/>
    <mergeCell ref="M2:M3"/>
    <mergeCell ref="N2:N3"/>
    <mergeCell ref="O2:O3"/>
    <mergeCell ref="B2:B3"/>
    <mergeCell ref="C2:C3"/>
    <mergeCell ref="D2:E2"/>
    <mergeCell ref="F2:F3"/>
    <mergeCell ref="G2:G3"/>
    <mergeCell ref="H2:H3"/>
    <mergeCell ref="I2:I3"/>
    <mergeCell ref="M18:M22"/>
    <mergeCell ref="N18:N22"/>
    <mergeCell ref="P18:P22"/>
    <mergeCell ref="F18:F22"/>
    <mergeCell ref="G18:G22"/>
    <mergeCell ref="H18:H22"/>
    <mergeCell ref="I18:I22"/>
    <mergeCell ref="J18:J22"/>
    <mergeCell ref="K18:K22"/>
    <mergeCell ref="L18:L22"/>
    <mergeCell ref="M54:M57"/>
    <mergeCell ref="N54:N57"/>
    <mergeCell ref="O54:O58"/>
    <mergeCell ref="F54:F57"/>
    <mergeCell ref="G54:G57"/>
    <mergeCell ref="H54:H57"/>
    <mergeCell ref="I54:I57"/>
    <mergeCell ref="J54:J57"/>
    <mergeCell ref="K54:K57"/>
    <mergeCell ref="L54:L57"/>
    <mergeCell ref="K109:K111"/>
    <mergeCell ref="L109:L111"/>
    <mergeCell ref="M109:M111"/>
    <mergeCell ref="N109:N1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8.56"/>
    <col customWidth="1" min="2" max="2" width="30.78"/>
    <col customWidth="1" min="3" max="3" width="19.78"/>
    <col customWidth="1" min="4" max="4" width="10.44"/>
    <col customWidth="1" min="5" max="5" width="14.44"/>
    <col customWidth="1" min="6" max="12" width="13.67"/>
    <col customWidth="1" min="13" max="15" width="14.67"/>
    <col customWidth="1" min="16" max="16" width="15.67"/>
    <col customWidth="1" min="17" max="30" width="8.56"/>
  </cols>
  <sheetData>
    <row r="1" ht="16.5" customHeight="1">
      <c r="B1" s="2"/>
      <c r="C1" s="2"/>
    </row>
    <row r="2" ht="32.25" customHeight="1">
      <c r="B2" s="4" t="s">
        <v>0</v>
      </c>
      <c r="C2" s="4" t="s">
        <v>1</v>
      </c>
      <c r="D2" s="5" t="s">
        <v>2</v>
      </c>
      <c r="E2" s="6"/>
      <c r="F2" s="8" t="s">
        <v>3</v>
      </c>
      <c r="G2" s="8" t="s">
        <v>5</v>
      </c>
      <c r="H2" s="8" t="s">
        <v>6</v>
      </c>
      <c r="I2" s="8" t="s">
        <v>7</v>
      </c>
      <c r="J2" s="10"/>
      <c r="K2" s="8"/>
      <c r="L2" s="8"/>
      <c r="M2" s="4"/>
      <c r="N2" s="4" t="s">
        <v>10</v>
      </c>
      <c r="O2" s="13" t="s">
        <v>11</v>
      </c>
    </row>
    <row r="3" ht="16.5" customHeight="1">
      <c r="B3" s="14"/>
      <c r="C3" s="14"/>
      <c r="D3" s="16" t="s">
        <v>16</v>
      </c>
      <c r="E3" s="16" t="s">
        <v>4</v>
      </c>
      <c r="F3" s="14"/>
      <c r="G3" s="14"/>
      <c r="H3" s="14"/>
      <c r="I3" s="14"/>
      <c r="J3" s="18"/>
      <c r="K3" s="19"/>
      <c r="L3" s="19"/>
      <c r="M3" s="22"/>
      <c r="N3" s="14"/>
      <c r="O3" s="14"/>
    </row>
    <row r="4" ht="16.5" customHeight="1">
      <c r="B4" s="25" t="s">
        <v>24</v>
      </c>
      <c r="C4" s="25" t="s">
        <v>26</v>
      </c>
      <c r="D4" s="28"/>
      <c r="E4" s="31">
        <v>6.39544E7</v>
      </c>
      <c r="F4" s="33">
        <f>Rekap!E228+Rekap!E230</f>
        <v>63954400</v>
      </c>
      <c r="G4" s="33"/>
      <c r="H4" s="33"/>
      <c r="I4" s="33"/>
      <c r="J4" s="33"/>
      <c r="K4" s="33"/>
      <c r="L4" s="33"/>
      <c r="M4" s="33"/>
      <c r="N4" s="38">
        <f t="shared" ref="N4:N16" si="1">E4-F4-G4-H4</f>
        <v>0</v>
      </c>
      <c r="O4" s="38"/>
    </row>
    <row r="5" ht="16.5" customHeight="1">
      <c r="B5" s="25" t="s">
        <v>31</v>
      </c>
      <c r="C5" s="25" t="s">
        <v>32</v>
      </c>
      <c r="D5" s="28"/>
      <c r="E5" s="31">
        <v>2.2333075E7</v>
      </c>
      <c r="F5" s="33">
        <f>Rekap!E253</f>
        <v>16733000</v>
      </c>
      <c r="G5" s="33">
        <f>Rekap!E298</f>
        <v>5600075</v>
      </c>
      <c r="H5" s="33"/>
      <c r="I5" s="33"/>
      <c r="J5" s="33"/>
      <c r="K5" s="33"/>
      <c r="L5" s="33"/>
      <c r="M5" s="33"/>
      <c r="N5" s="38">
        <f t="shared" si="1"/>
        <v>0</v>
      </c>
      <c r="O5" s="38"/>
    </row>
    <row r="6" ht="16.5" customHeight="1">
      <c r="B6" s="25" t="s">
        <v>34</v>
      </c>
      <c r="C6" s="25" t="s">
        <v>35</v>
      </c>
      <c r="D6" s="28"/>
      <c r="E6" s="33"/>
      <c r="F6" s="33">
        <f>Rekap!E235</f>
        <v>3017000</v>
      </c>
      <c r="G6" s="33"/>
      <c r="H6" s="33"/>
      <c r="I6" s="33"/>
      <c r="J6" s="33"/>
      <c r="K6" s="33"/>
      <c r="L6" s="33"/>
      <c r="M6" s="33"/>
      <c r="N6" s="38">
        <f t="shared" si="1"/>
        <v>-3017000</v>
      </c>
      <c r="O6" s="38"/>
    </row>
    <row r="7" ht="16.5" customHeight="1">
      <c r="B7" s="25" t="s">
        <v>36</v>
      </c>
      <c r="C7" s="25" t="s">
        <v>38</v>
      </c>
      <c r="D7" s="49"/>
      <c r="E7" s="52">
        <v>5577890.0</v>
      </c>
      <c r="F7" s="38">
        <f>Rekap!E233+Rekap!E237</f>
        <v>2309260</v>
      </c>
      <c r="G7" s="38">
        <f>Rekap!E269+Rekap!E270+Rekap!E271</f>
        <v>2880840</v>
      </c>
      <c r="H7" s="38">
        <f>Rekap!E281+Rekap!E290</f>
        <v>387790</v>
      </c>
      <c r="I7" s="38"/>
      <c r="J7" s="38"/>
      <c r="K7" s="38"/>
      <c r="L7" s="38"/>
      <c r="M7" s="38"/>
      <c r="N7" s="38">
        <f t="shared" si="1"/>
        <v>0</v>
      </c>
      <c r="O7" s="38"/>
    </row>
    <row r="8" ht="16.5" customHeight="1">
      <c r="B8" s="25" t="s">
        <v>46</v>
      </c>
      <c r="C8" s="58" t="s">
        <v>47</v>
      </c>
      <c r="D8" s="49"/>
      <c r="E8" s="52">
        <v>3.5E7</v>
      </c>
      <c r="F8" s="38">
        <f>Rekap!E240+Rekap!E241</f>
        <v>21808000</v>
      </c>
      <c r="G8" s="38">
        <f>Rekap!E247</f>
        <v>6000000</v>
      </c>
      <c r="H8" s="38">
        <f>Rekap!E266</f>
        <v>6730000</v>
      </c>
      <c r="I8" s="38"/>
      <c r="J8" s="38"/>
      <c r="K8" s="38"/>
      <c r="L8" s="38"/>
      <c r="M8" s="38"/>
      <c r="N8" s="38">
        <f t="shared" si="1"/>
        <v>462000</v>
      </c>
      <c r="O8" s="38"/>
    </row>
    <row r="9" ht="16.5" customHeight="1">
      <c r="B9" s="25" t="s">
        <v>51</v>
      </c>
      <c r="C9" s="25" t="s">
        <v>35</v>
      </c>
      <c r="D9" s="49"/>
      <c r="E9" s="52">
        <v>5.0E7</v>
      </c>
      <c r="F9" s="38">
        <f>Rekap!E242</f>
        <v>8203000</v>
      </c>
      <c r="G9" s="38">
        <f>Rekap!E250</f>
        <v>4935000</v>
      </c>
      <c r="H9" s="38">
        <f>Rekap!E252</f>
        <v>30600000</v>
      </c>
      <c r="I9" s="38">
        <f>Rekap!E262</f>
        <v>1740000</v>
      </c>
      <c r="J9" s="38">
        <f>Rekap!E273+Rekap!E274</f>
        <v>1975000</v>
      </c>
      <c r="K9" s="38">
        <f>Rekap!E283</f>
        <v>6990000</v>
      </c>
      <c r="L9" s="38">
        <f>Rekap!E304+Rekap!E306+Rekap!E313+Rekap!E318</f>
        <v>9705720</v>
      </c>
      <c r="M9" s="38"/>
      <c r="N9" s="38">
        <f t="shared" si="1"/>
        <v>6262000</v>
      </c>
      <c r="O9" s="38"/>
    </row>
    <row r="10" ht="16.5" customHeight="1">
      <c r="B10" s="25" t="s">
        <v>54</v>
      </c>
      <c r="C10" s="25" t="s">
        <v>55</v>
      </c>
      <c r="D10" s="49"/>
      <c r="E10" s="52">
        <v>8800000.0</v>
      </c>
      <c r="F10" s="38">
        <f>Rekap!E248</f>
        <v>5800000</v>
      </c>
      <c r="G10" s="38">
        <f>Rekap!E258</f>
        <v>3000000</v>
      </c>
      <c r="H10" s="38"/>
      <c r="I10" s="38"/>
      <c r="J10" s="38"/>
      <c r="K10" s="38"/>
      <c r="L10" s="38"/>
      <c r="M10" s="38"/>
      <c r="N10" s="38">
        <f t="shared" si="1"/>
        <v>0</v>
      </c>
      <c r="O10" s="38"/>
    </row>
    <row r="11" ht="16.5" customHeight="1">
      <c r="B11" s="25" t="s">
        <v>60</v>
      </c>
      <c r="C11" s="25" t="s">
        <v>61</v>
      </c>
      <c r="D11" s="49"/>
      <c r="E11" s="52"/>
      <c r="F11" s="38">
        <f>Rekap!E267+Rekap!E268</f>
        <v>3385760</v>
      </c>
      <c r="G11" s="38">
        <f>Rekap!E272</f>
        <v>1027400</v>
      </c>
      <c r="H11" s="38">
        <f>Rekap!E282</f>
        <v>11007826</v>
      </c>
      <c r="I11" s="38">
        <f>Rekap!E286+Rekap!E287+Rekap!E284</f>
        <v>5571784</v>
      </c>
      <c r="J11" s="38">
        <f>Rekap!E329</f>
        <v>256946</v>
      </c>
      <c r="K11" s="38"/>
      <c r="L11" s="38"/>
      <c r="M11" s="38"/>
      <c r="N11" s="38">
        <f t="shared" si="1"/>
        <v>-15420986</v>
      </c>
      <c r="O11" s="38"/>
    </row>
    <row r="12" ht="16.5" customHeight="1">
      <c r="B12" s="25" t="s">
        <v>62</v>
      </c>
      <c r="C12" s="25" t="s">
        <v>63</v>
      </c>
      <c r="D12" s="49"/>
      <c r="E12" s="52">
        <v>1.0735E7</v>
      </c>
      <c r="F12" s="38">
        <f>Rekap!E294</f>
        <v>10735000</v>
      </c>
      <c r="G12" s="38"/>
      <c r="H12" s="38"/>
      <c r="I12" s="38"/>
      <c r="J12" s="38"/>
      <c r="K12" s="38"/>
      <c r="L12" s="38"/>
      <c r="M12" s="38"/>
      <c r="N12" s="38">
        <f t="shared" si="1"/>
        <v>0</v>
      </c>
      <c r="O12" s="38"/>
    </row>
    <row r="13" ht="16.5" customHeight="1">
      <c r="B13" s="25" t="s">
        <v>66</v>
      </c>
      <c r="C13" s="25" t="s">
        <v>67</v>
      </c>
      <c r="D13" s="49"/>
      <c r="E13" s="52">
        <v>1.5E7</v>
      </c>
      <c r="F13" s="38">
        <f>Rekap!E292</f>
        <v>8000000</v>
      </c>
      <c r="G13" s="38">
        <f>Rekap!E296+Rekap!E297</f>
        <v>2497500</v>
      </c>
      <c r="H13" s="38">
        <f>Rekap!E302+Rekap!E307+Rekap!E320+Rekap!E323+Rekap!E328</f>
        <v>3875000</v>
      </c>
      <c r="I13" s="38">
        <f>Rekap!E308+Rekap!E315+Rekap!E327+Rekap!E334</f>
        <v>10000000</v>
      </c>
      <c r="J13" s="38">
        <f>Rekap!E309</f>
        <v>7000000</v>
      </c>
      <c r="K13" s="38">
        <f>Rekap!E311+Rekap!E316</f>
        <v>3625000</v>
      </c>
      <c r="L13" s="38"/>
      <c r="M13" s="38"/>
      <c r="N13" s="38">
        <f t="shared" si="1"/>
        <v>627500</v>
      </c>
      <c r="O13" s="38"/>
    </row>
    <row r="14" ht="16.5" customHeight="1">
      <c r="B14" s="25" t="s">
        <v>70</v>
      </c>
      <c r="C14" s="25" t="s">
        <v>72</v>
      </c>
      <c r="D14" s="49"/>
      <c r="E14" s="52">
        <v>3000000.0</v>
      </c>
      <c r="F14" s="38">
        <f>Rekap!E293</f>
        <v>3000000</v>
      </c>
      <c r="G14" s="38">
        <f>Rekap!E295</f>
        <v>2000000</v>
      </c>
      <c r="H14" s="38"/>
      <c r="I14" s="38"/>
      <c r="J14" s="38"/>
      <c r="K14" s="38"/>
      <c r="L14" s="38"/>
      <c r="M14" s="38"/>
      <c r="N14" s="38">
        <f t="shared" si="1"/>
        <v>-2000000</v>
      </c>
      <c r="O14" s="38"/>
    </row>
    <row r="15" ht="16.5" customHeight="1">
      <c r="B15" s="25" t="s">
        <v>74</v>
      </c>
      <c r="C15" s="25" t="s">
        <v>75</v>
      </c>
      <c r="D15" s="49"/>
      <c r="E15" s="52">
        <v>2.01E7</v>
      </c>
      <c r="F15" s="38">
        <f>Rekap!E289</f>
        <v>6100000</v>
      </c>
      <c r="G15" s="38">
        <f>Rekap!E322</f>
        <v>1950000</v>
      </c>
      <c r="H15" s="38">
        <f>Rekap!E342+Rekap!E343</f>
        <v>20755000</v>
      </c>
      <c r="I15" s="38">
        <f>Rekap!E341</f>
        <v>14070000</v>
      </c>
      <c r="J15" s="38">
        <f>Rekap!E348+Rekap!E349+Rekap!E354+Rekap!E359+Rekap!E362</f>
        <v>8913000</v>
      </c>
      <c r="K15" s="38"/>
      <c r="L15" s="38"/>
      <c r="M15" s="38"/>
      <c r="N15" s="38">
        <f t="shared" si="1"/>
        <v>-8705000</v>
      </c>
      <c r="O15" s="38"/>
    </row>
    <row r="16" ht="16.5" customHeight="1">
      <c r="B16" s="25" t="s">
        <v>77</v>
      </c>
      <c r="C16" s="25"/>
      <c r="D16" s="49"/>
      <c r="E16" s="56"/>
      <c r="F16" s="38">
        <f>Rekap!E357+Rekap!E358</f>
        <v>3195575</v>
      </c>
      <c r="G16" s="38"/>
      <c r="H16" s="38"/>
      <c r="I16" s="38"/>
      <c r="J16" s="38"/>
      <c r="K16" s="38"/>
      <c r="L16" s="38"/>
      <c r="M16" s="38"/>
      <c r="N16" s="38">
        <f t="shared" si="1"/>
        <v>-3195575</v>
      </c>
      <c r="O16" s="38"/>
    </row>
    <row r="17" ht="16.5" customHeight="1">
      <c r="B17" s="25" t="s">
        <v>81</v>
      </c>
      <c r="C17" s="25"/>
      <c r="D17" s="49"/>
      <c r="E17" s="52"/>
      <c r="F17" s="38">
        <f>Rekap!E361</f>
        <v>6200000</v>
      </c>
      <c r="G17" s="38"/>
      <c r="H17" s="38"/>
      <c r="I17" s="38"/>
      <c r="J17" s="38"/>
      <c r="K17" s="38"/>
      <c r="L17" s="38"/>
      <c r="M17" s="38"/>
      <c r="N17" s="38"/>
      <c r="O17" s="38"/>
    </row>
    <row r="18" ht="16.5" customHeight="1">
      <c r="B18" s="25" t="s">
        <v>84</v>
      </c>
      <c r="C18" s="25" t="s">
        <v>85</v>
      </c>
      <c r="D18" s="49"/>
      <c r="E18" s="52"/>
      <c r="F18" s="38">
        <f>Rekap!E363</f>
        <v>5500000</v>
      </c>
      <c r="G18" s="38"/>
      <c r="H18" s="38"/>
      <c r="I18" s="38"/>
      <c r="J18" s="38"/>
      <c r="K18" s="38"/>
      <c r="L18" s="38"/>
      <c r="M18" s="38"/>
      <c r="N18" s="38"/>
      <c r="O18" s="38"/>
    </row>
    <row r="19" ht="16.5" customHeight="1">
      <c r="B19" s="25" t="s">
        <v>89</v>
      </c>
      <c r="C19" s="25" t="s">
        <v>90</v>
      </c>
      <c r="D19" s="49"/>
      <c r="E19" s="52">
        <v>1.05E8</v>
      </c>
      <c r="F19" s="38">
        <f>Rekap!E331</f>
        <v>75000000</v>
      </c>
      <c r="G19" s="38">
        <f>Rekap!E345</f>
        <v>15000000</v>
      </c>
      <c r="H19" s="38">
        <f>Rekap!E360</f>
        <v>10000000</v>
      </c>
      <c r="I19" s="38"/>
      <c r="J19" s="38"/>
      <c r="K19" s="38"/>
      <c r="L19" s="38"/>
      <c r="M19" s="38"/>
      <c r="N19" s="38">
        <f>E19-F19-G19-H19</f>
        <v>5000000</v>
      </c>
      <c r="O19" s="38"/>
    </row>
    <row r="20" ht="16.5" customHeight="1">
      <c r="B20" s="25" t="s">
        <v>93</v>
      </c>
      <c r="C20" s="25" t="s">
        <v>90</v>
      </c>
      <c r="D20" s="49"/>
      <c r="E20" s="52">
        <v>1.14E7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</row>
    <row r="21" ht="16.5" customHeight="1">
      <c r="B21" s="25" t="s">
        <v>97</v>
      </c>
      <c r="C21" s="25" t="s">
        <v>98</v>
      </c>
      <c r="D21" s="49"/>
      <c r="E21" s="52">
        <v>3.5E8</v>
      </c>
      <c r="F21" s="38">
        <f>Rekap!E333</f>
        <v>150000000</v>
      </c>
      <c r="G21" s="38">
        <f>Rekap!E337</f>
        <v>100000000</v>
      </c>
      <c r="H21" s="38"/>
      <c r="I21" s="38"/>
      <c r="J21" s="38"/>
      <c r="K21" s="38"/>
      <c r="L21" s="38"/>
      <c r="M21" s="38"/>
      <c r="N21" s="38">
        <f>E21-F21-G21-H21</f>
        <v>100000000</v>
      </c>
      <c r="O21" s="38"/>
    </row>
    <row r="22" ht="16.5" customHeight="1">
      <c r="B22" s="25" t="s">
        <v>103</v>
      </c>
      <c r="C22" s="25" t="s">
        <v>104</v>
      </c>
      <c r="D22" s="49"/>
      <c r="E22" s="56"/>
      <c r="F22" s="38">
        <f>Rekap!E365</f>
        <v>1900000</v>
      </c>
      <c r="G22" s="38"/>
      <c r="H22" s="38"/>
      <c r="I22" s="38"/>
      <c r="J22" s="38"/>
      <c r="K22" s="38"/>
      <c r="L22" s="38"/>
      <c r="M22" s="38"/>
      <c r="N22" s="38"/>
      <c r="O22" s="38"/>
    </row>
    <row r="23" ht="16.5" customHeight="1">
      <c r="B23" s="25"/>
      <c r="C23" s="25"/>
      <c r="D23" s="49"/>
      <c r="E23" s="56"/>
      <c r="F23" s="38"/>
      <c r="G23" s="38"/>
      <c r="H23" s="38"/>
      <c r="I23" s="38"/>
      <c r="J23" s="38"/>
      <c r="K23" s="38"/>
      <c r="L23" s="38"/>
      <c r="M23" s="38"/>
      <c r="N23" s="38"/>
      <c r="O23" s="38"/>
    </row>
    <row r="24" ht="16.5" customHeight="1">
      <c r="B24" s="25" t="s">
        <v>110</v>
      </c>
      <c r="C24" s="25" t="s">
        <v>111</v>
      </c>
      <c r="D24" s="49"/>
      <c r="E24" s="56"/>
      <c r="F24" s="38">
        <f>Rekap!E340</f>
        <v>23100000</v>
      </c>
      <c r="G24" s="38"/>
      <c r="H24" s="38"/>
      <c r="I24" s="38"/>
      <c r="J24" s="38"/>
      <c r="K24" s="38"/>
      <c r="L24" s="38"/>
      <c r="M24" s="38"/>
      <c r="N24" s="38"/>
      <c r="O24" s="38"/>
    </row>
    <row r="25" ht="16.5" customHeight="1">
      <c r="B25" s="25"/>
      <c r="C25" s="25"/>
      <c r="D25" s="49"/>
      <c r="E25" s="56"/>
      <c r="F25" s="38"/>
      <c r="G25" s="38"/>
      <c r="H25" s="38"/>
      <c r="I25" s="38"/>
      <c r="J25" s="38"/>
      <c r="K25" s="38"/>
      <c r="L25" s="38"/>
      <c r="M25" s="38"/>
      <c r="N25" s="38">
        <f t="shared" ref="N25:N27" si="2">E25-F25-G25-H25</f>
        <v>0</v>
      </c>
      <c r="O25" s="38"/>
    </row>
    <row r="26" ht="16.5" customHeight="1">
      <c r="B26" s="25"/>
      <c r="C26" s="25"/>
      <c r="D26" s="49"/>
      <c r="E26" s="56"/>
      <c r="F26" s="38"/>
      <c r="G26" s="38"/>
      <c r="H26" s="38"/>
      <c r="I26" s="38"/>
      <c r="J26" s="38"/>
      <c r="K26" s="38"/>
      <c r="L26" s="38"/>
      <c r="M26" s="38"/>
      <c r="N26" s="38">
        <f t="shared" si="2"/>
        <v>0</v>
      </c>
      <c r="O26" s="38"/>
    </row>
    <row r="27" ht="16.5" customHeight="1">
      <c r="B27" s="25" t="s">
        <v>121</v>
      </c>
      <c r="C27" s="25"/>
      <c r="D27" s="49"/>
      <c r="E27" s="52"/>
      <c r="F27" s="38">
        <f>Rekap!E276</f>
        <v>1892537</v>
      </c>
      <c r="G27" s="38"/>
      <c r="H27" s="38"/>
      <c r="I27" s="38"/>
      <c r="J27" s="38"/>
      <c r="K27" s="38"/>
      <c r="L27" s="38"/>
      <c r="M27" s="38"/>
      <c r="N27" s="38">
        <f t="shared" si="2"/>
        <v>-1892537</v>
      </c>
      <c r="O27" s="38"/>
    </row>
    <row r="28" ht="16.5" customHeight="1">
      <c r="B28" s="25" t="s">
        <v>124</v>
      </c>
      <c r="C28" s="54"/>
      <c r="D28" s="49"/>
      <c r="E28" s="56"/>
      <c r="F28" s="38">
        <f>Rekap!E338</f>
        <v>2729719</v>
      </c>
      <c r="G28" s="38"/>
      <c r="H28" s="38"/>
      <c r="I28" s="38"/>
      <c r="J28" s="38"/>
      <c r="K28" s="38"/>
      <c r="L28" s="38"/>
      <c r="M28" s="38"/>
      <c r="N28" s="38">
        <f>E28-F28-G28-H28-I28</f>
        <v>-2729719</v>
      </c>
      <c r="O28" s="38"/>
    </row>
    <row r="29" ht="16.5" customHeight="1">
      <c r="B29" s="54"/>
      <c r="C29" s="51"/>
      <c r="D29" s="59"/>
      <c r="E29" s="84"/>
      <c r="F29" s="87"/>
      <c r="G29" s="87"/>
      <c r="H29" s="87"/>
      <c r="I29" s="87"/>
      <c r="J29" s="87"/>
      <c r="K29" s="87"/>
      <c r="L29" s="87"/>
      <c r="M29" s="87"/>
      <c r="N29" s="38"/>
      <c r="O29" s="87"/>
    </row>
    <row r="30" ht="16.5" customHeight="1">
      <c r="B30" s="90"/>
      <c r="C30" s="90"/>
      <c r="D30" s="91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</row>
    <row r="31" ht="16.5" customHeight="1">
      <c r="B31" s="2"/>
      <c r="C31" s="2"/>
      <c r="E31" s="97">
        <f>SUM(E7:E29)</f>
        <v>614612890</v>
      </c>
      <c r="F31" s="100">
        <f t="shared" ref="F31:L31" si="3">SUM(F4:F29)</f>
        <v>422563251</v>
      </c>
      <c r="G31" s="100">
        <f t="shared" si="3"/>
        <v>144890815</v>
      </c>
      <c r="H31" s="100">
        <f t="shared" si="3"/>
        <v>83355616</v>
      </c>
      <c r="I31" s="100">
        <f t="shared" si="3"/>
        <v>31381784</v>
      </c>
      <c r="J31" s="100">
        <f t="shared" si="3"/>
        <v>18144946</v>
      </c>
      <c r="K31" s="100">
        <f t="shared" si="3"/>
        <v>10615000</v>
      </c>
      <c r="L31" s="100">
        <f t="shared" si="3"/>
        <v>9705720</v>
      </c>
      <c r="M31" s="104"/>
      <c r="N31" s="104">
        <f>SUM(N7:N29)</f>
        <v>78407683</v>
      </c>
      <c r="O31" s="104">
        <f>F31+G31+H31+I31+J31+K31+L31</f>
        <v>720657132</v>
      </c>
    </row>
    <row r="32" ht="16.5" customHeight="1">
      <c r="B32" s="2"/>
      <c r="C32" s="2"/>
      <c r="O32" s="7"/>
    </row>
    <row r="33" ht="16.5" customHeight="1">
      <c r="B33" s="2"/>
      <c r="C33" s="2"/>
      <c r="F33" s="7"/>
      <c r="G33" s="7"/>
      <c r="H33" s="7"/>
      <c r="I33" s="7"/>
      <c r="J33" s="7"/>
      <c r="K33" s="7"/>
      <c r="L33" s="7"/>
      <c r="O33" s="7"/>
    </row>
    <row r="34" ht="16.5" customHeight="1">
      <c r="B34" s="2"/>
      <c r="C34" s="2"/>
      <c r="F34" s="7"/>
      <c r="G34" s="7"/>
      <c r="H34" s="7"/>
      <c r="I34" s="7"/>
      <c r="J34" s="7"/>
      <c r="K34" s="7"/>
      <c r="L34" s="7"/>
      <c r="O34" s="7"/>
    </row>
    <row r="35" ht="16.5" customHeight="1">
      <c r="B35" s="2"/>
      <c r="C35" s="2"/>
      <c r="F35" s="7"/>
      <c r="G35" s="7"/>
      <c r="H35" s="7"/>
      <c r="I35" s="7"/>
      <c r="J35" s="7"/>
      <c r="K35" s="7"/>
      <c r="L35" s="7"/>
      <c r="O35" s="7"/>
    </row>
    <row r="36" ht="16.5" customHeight="1">
      <c r="B36" s="2"/>
      <c r="C36" s="2"/>
      <c r="F36" s="7"/>
      <c r="G36" s="7"/>
      <c r="H36" s="7"/>
      <c r="I36" s="7"/>
      <c r="J36" s="7"/>
      <c r="K36" s="7"/>
      <c r="L36" s="7"/>
      <c r="O36" s="7"/>
    </row>
    <row r="37" ht="16.5" customHeight="1">
      <c r="B37" s="2"/>
      <c r="C37" s="2"/>
      <c r="F37" s="7"/>
      <c r="G37" s="7"/>
      <c r="H37" s="7"/>
      <c r="I37" s="7"/>
      <c r="J37" s="7"/>
      <c r="K37" s="7"/>
      <c r="L37" s="7"/>
      <c r="O37" s="7"/>
    </row>
    <row r="38" ht="16.5" customHeight="1">
      <c r="B38" s="2"/>
      <c r="C38" s="2"/>
      <c r="F38" s="7"/>
      <c r="G38" s="7"/>
      <c r="H38" s="7"/>
      <c r="I38" s="7"/>
      <c r="J38" s="7"/>
      <c r="K38" s="7"/>
      <c r="L38" s="7"/>
      <c r="O38" s="7"/>
    </row>
    <row r="39" ht="16.5" customHeight="1">
      <c r="B39" s="2"/>
      <c r="C39" s="2"/>
    </row>
    <row r="40" ht="16.5" customHeight="1">
      <c r="B40" s="2"/>
      <c r="C40" s="2"/>
    </row>
    <row r="41" ht="16.5" customHeight="1">
      <c r="B41" s="2"/>
      <c r="C41" s="2"/>
    </row>
    <row r="42" ht="16.5" customHeight="1">
      <c r="B42" s="2"/>
      <c r="C42" s="2"/>
    </row>
    <row r="43" ht="16.5" customHeight="1">
      <c r="B43" s="2"/>
      <c r="C43" s="2"/>
    </row>
    <row r="44" ht="16.5" customHeight="1">
      <c r="B44" s="2"/>
      <c r="C44" s="2"/>
    </row>
    <row r="45" ht="16.5" customHeight="1">
      <c r="B45" s="2"/>
      <c r="C45" s="2"/>
    </row>
    <row r="46" ht="16.5" customHeight="1">
      <c r="B46" s="2"/>
      <c r="C46" s="2"/>
    </row>
    <row r="47" ht="16.5" customHeight="1">
      <c r="B47" s="2"/>
      <c r="C47" s="2"/>
    </row>
    <row r="48" ht="16.5" customHeight="1">
      <c r="B48" s="2"/>
      <c r="C48" s="2"/>
    </row>
    <row r="49" ht="16.5" customHeight="1">
      <c r="B49" s="2"/>
      <c r="C49" s="2"/>
    </row>
    <row r="50" ht="16.5" customHeight="1">
      <c r="B50" s="2"/>
      <c r="C50" s="2"/>
    </row>
    <row r="51" ht="16.5" customHeight="1">
      <c r="B51" s="2"/>
      <c r="C51" s="2"/>
    </row>
    <row r="52" ht="16.5" customHeight="1">
      <c r="B52" s="2"/>
      <c r="C52" s="2"/>
    </row>
    <row r="53" ht="16.5" customHeight="1">
      <c r="B53" s="2"/>
      <c r="C53" s="2"/>
    </row>
    <row r="54" ht="16.5" customHeight="1">
      <c r="B54" s="2"/>
      <c r="C54" s="2"/>
    </row>
    <row r="55" ht="16.5" customHeight="1">
      <c r="B55" s="2"/>
      <c r="C55" s="2"/>
    </row>
    <row r="56" ht="16.5" customHeight="1">
      <c r="B56" s="2"/>
      <c r="C56" s="2"/>
    </row>
    <row r="57" ht="16.5" customHeight="1">
      <c r="B57" s="2"/>
      <c r="C57" s="2"/>
    </row>
    <row r="58" ht="16.5" customHeight="1">
      <c r="B58" s="2"/>
      <c r="C58" s="2"/>
    </row>
    <row r="59" ht="16.5" customHeight="1">
      <c r="B59" s="2"/>
      <c r="C59" s="2"/>
    </row>
    <row r="60" ht="16.5" customHeight="1">
      <c r="B60" s="2"/>
      <c r="C60" s="2"/>
    </row>
    <row r="61" ht="16.5" customHeight="1">
      <c r="B61" s="2"/>
      <c r="C61" s="2"/>
    </row>
    <row r="62" ht="16.5" customHeight="1">
      <c r="B62" s="2"/>
      <c r="C62" s="2"/>
    </row>
    <row r="63" ht="16.5" customHeight="1">
      <c r="B63" s="2"/>
      <c r="C63" s="2"/>
    </row>
    <row r="64" ht="16.5" customHeight="1">
      <c r="B64" s="2"/>
      <c r="C64" s="2"/>
    </row>
    <row r="65" ht="16.5" customHeight="1">
      <c r="B65" s="2"/>
      <c r="C65" s="2"/>
    </row>
    <row r="66" ht="16.5" customHeight="1">
      <c r="B66" s="2"/>
      <c r="C66" s="2"/>
    </row>
    <row r="67" ht="16.5" customHeight="1">
      <c r="B67" s="2"/>
      <c r="C67" s="2"/>
    </row>
    <row r="68" ht="16.5" customHeight="1">
      <c r="B68" s="2"/>
      <c r="C68" s="2"/>
    </row>
    <row r="69" ht="16.5" customHeight="1">
      <c r="B69" s="2"/>
      <c r="C69" s="2"/>
    </row>
    <row r="70" ht="16.5" customHeight="1">
      <c r="B70" s="2"/>
      <c r="C70" s="2"/>
    </row>
    <row r="71" ht="16.5" customHeight="1">
      <c r="B71" s="2"/>
      <c r="C71" s="2"/>
    </row>
    <row r="72" ht="16.5" customHeight="1">
      <c r="B72" s="2"/>
      <c r="C72" s="2"/>
    </row>
    <row r="73" ht="16.5" customHeight="1">
      <c r="B73" s="2"/>
      <c r="C73" s="2"/>
    </row>
    <row r="74" ht="16.5" customHeight="1">
      <c r="B74" s="2"/>
      <c r="C74" s="2"/>
    </row>
    <row r="75" ht="16.5" customHeight="1">
      <c r="B75" s="2"/>
      <c r="C75" s="2"/>
    </row>
    <row r="76" ht="16.5" customHeight="1">
      <c r="B76" s="2"/>
      <c r="C76" s="2"/>
    </row>
    <row r="77" ht="16.5" customHeight="1">
      <c r="B77" s="2"/>
      <c r="C77" s="2"/>
    </row>
    <row r="78" ht="16.5" customHeight="1">
      <c r="B78" s="2"/>
      <c r="C78" s="2"/>
    </row>
    <row r="79" ht="16.5" customHeight="1">
      <c r="B79" s="2"/>
      <c r="C79" s="2"/>
    </row>
    <row r="80" ht="16.5" customHeight="1">
      <c r="B80" s="2"/>
      <c r="C80" s="2"/>
    </row>
    <row r="81" ht="16.5" customHeight="1">
      <c r="B81" s="2"/>
      <c r="C81" s="2"/>
    </row>
    <row r="82" ht="16.5" customHeight="1">
      <c r="B82" s="2"/>
      <c r="C82" s="2"/>
    </row>
    <row r="83" ht="16.5" customHeight="1">
      <c r="B83" s="2"/>
      <c r="C83" s="2"/>
    </row>
    <row r="84" ht="16.5" customHeight="1">
      <c r="B84" s="2"/>
      <c r="C84" s="2"/>
    </row>
    <row r="85" ht="16.5" customHeight="1">
      <c r="B85" s="2"/>
      <c r="C85" s="2"/>
    </row>
    <row r="86" ht="16.5" customHeight="1">
      <c r="B86" s="2"/>
      <c r="C86" s="2"/>
    </row>
    <row r="87" ht="16.5" customHeight="1">
      <c r="B87" s="2"/>
      <c r="C87" s="2"/>
    </row>
    <row r="88" ht="16.5" customHeight="1">
      <c r="B88" s="2"/>
      <c r="C88" s="2"/>
    </row>
    <row r="89" ht="16.5" customHeight="1">
      <c r="B89" s="2"/>
      <c r="C89" s="2"/>
    </row>
    <row r="90" ht="16.5" customHeight="1">
      <c r="B90" s="2"/>
      <c r="C90" s="2"/>
    </row>
    <row r="91" ht="16.5" customHeight="1">
      <c r="B91" s="2"/>
      <c r="C91" s="2"/>
    </row>
    <row r="92" ht="16.5" customHeight="1">
      <c r="B92" s="2"/>
      <c r="C92" s="2"/>
    </row>
    <row r="93" ht="16.5" customHeight="1">
      <c r="B93" s="2"/>
      <c r="C93" s="2"/>
    </row>
    <row r="94" ht="16.5" customHeight="1">
      <c r="B94" s="2"/>
      <c r="C94" s="2"/>
    </row>
    <row r="95" ht="16.5" customHeight="1">
      <c r="B95" s="2"/>
      <c r="C95" s="2"/>
    </row>
    <row r="96" ht="16.5" customHeight="1">
      <c r="B96" s="2"/>
      <c r="C96" s="2"/>
    </row>
    <row r="97" ht="16.5" customHeight="1">
      <c r="B97" s="2"/>
      <c r="C97" s="2"/>
    </row>
    <row r="98" ht="16.5" customHeight="1">
      <c r="B98" s="2"/>
      <c r="C98" s="2"/>
    </row>
    <row r="99" ht="16.5" customHeight="1">
      <c r="B99" s="2"/>
      <c r="C99" s="2"/>
    </row>
    <row r="100" ht="16.5" customHeight="1">
      <c r="B100" s="2"/>
      <c r="C100" s="2"/>
    </row>
    <row r="101" ht="16.5" customHeight="1">
      <c r="B101" s="2"/>
      <c r="C101" s="2"/>
    </row>
    <row r="102" ht="16.5" customHeight="1">
      <c r="B102" s="2"/>
      <c r="C102" s="2"/>
    </row>
    <row r="103" ht="16.5" customHeight="1">
      <c r="B103" s="2"/>
      <c r="C103" s="2"/>
    </row>
    <row r="104" ht="16.5" customHeight="1">
      <c r="B104" s="2"/>
      <c r="C104" s="2"/>
    </row>
    <row r="105" ht="16.5" customHeight="1">
      <c r="B105" s="2"/>
      <c r="C105" s="2"/>
    </row>
    <row r="106" ht="16.5" customHeight="1">
      <c r="B106" s="2"/>
      <c r="C106" s="2"/>
    </row>
    <row r="107" ht="16.5" customHeight="1">
      <c r="B107" s="2"/>
      <c r="C107" s="2"/>
    </row>
    <row r="108" ht="16.5" customHeight="1">
      <c r="B108" s="2"/>
      <c r="C108" s="2"/>
    </row>
    <row r="109" ht="16.5" customHeight="1">
      <c r="B109" s="2"/>
      <c r="C109" s="2"/>
    </row>
    <row r="110" ht="16.5" customHeight="1">
      <c r="B110" s="2"/>
      <c r="C110" s="2"/>
    </row>
    <row r="111" ht="16.5" customHeight="1">
      <c r="B111" s="2"/>
      <c r="C111" s="2"/>
    </row>
    <row r="112" ht="16.5" customHeight="1">
      <c r="B112" s="2"/>
      <c r="C112" s="2"/>
    </row>
    <row r="113" ht="16.5" customHeight="1">
      <c r="B113" s="2"/>
      <c r="C113" s="2"/>
    </row>
    <row r="114" ht="16.5" customHeight="1">
      <c r="B114" s="2"/>
      <c r="C114" s="2"/>
    </row>
    <row r="115" ht="16.5" customHeight="1">
      <c r="B115" s="2"/>
      <c r="C115" s="2"/>
    </row>
    <row r="116" ht="16.5" customHeight="1">
      <c r="B116" s="2"/>
      <c r="C116" s="2"/>
    </row>
    <row r="117" ht="16.5" customHeight="1">
      <c r="B117" s="2"/>
      <c r="C117" s="2"/>
    </row>
    <row r="118" ht="16.5" customHeight="1">
      <c r="B118" s="2"/>
      <c r="C118" s="2"/>
    </row>
    <row r="119" ht="16.5" customHeight="1">
      <c r="B119" s="2"/>
      <c r="C119" s="2"/>
    </row>
    <row r="120" ht="16.5" customHeight="1">
      <c r="B120" s="2"/>
      <c r="C120" s="2"/>
    </row>
    <row r="121" ht="16.5" customHeight="1">
      <c r="B121" s="2"/>
      <c r="C121" s="2"/>
    </row>
    <row r="122" ht="16.5" customHeight="1">
      <c r="B122" s="2"/>
      <c r="C122" s="2"/>
    </row>
    <row r="123" ht="16.5" customHeight="1">
      <c r="B123" s="2"/>
      <c r="C123" s="2"/>
    </row>
    <row r="124" ht="16.5" customHeight="1">
      <c r="B124" s="2"/>
      <c r="C124" s="2"/>
    </row>
    <row r="125" ht="16.5" customHeight="1">
      <c r="B125" s="2"/>
      <c r="C125" s="2"/>
    </row>
    <row r="126" ht="16.5" customHeight="1">
      <c r="B126" s="2"/>
      <c r="C126" s="2"/>
    </row>
    <row r="127" ht="16.5" customHeight="1">
      <c r="B127" s="2"/>
      <c r="C127" s="2"/>
    </row>
    <row r="128" ht="16.5" customHeight="1">
      <c r="B128" s="2"/>
      <c r="C128" s="2"/>
    </row>
    <row r="129" ht="16.5" customHeight="1">
      <c r="B129" s="2"/>
      <c r="C129" s="2"/>
    </row>
    <row r="130" ht="16.5" customHeight="1">
      <c r="B130" s="2"/>
      <c r="C130" s="2"/>
    </row>
    <row r="131" ht="16.5" customHeight="1">
      <c r="B131" s="2"/>
      <c r="C131" s="2"/>
    </row>
    <row r="132" ht="16.5" customHeight="1">
      <c r="B132" s="2"/>
      <c r="C132" s="2"/>
    </row>
    <row r="133" ht="16.5" customHeight="1">
      <c r="B133" s="2"/>
      <c r="C133" s="2"/>
    </row>
    <row r="134" ht="16.5" customHeight="1">
      <c r="B134" s="2"/>
      <c r="C134" s="2"/>
    </row>
    <row r="135" ht="16.5" customHeight="1">
      <c r="B135" s="2"/>
      <c r="C135" s="2"/>
    </row>
    <row r="136" ht="16.5" customHeight="1">
      <c r="B136" s="2"/>
      <c r="C136" s="2"/>
    </row>
    <row r="137" ht="16.5" customHeight="1">
      <c r="B137" s="2"/>
      <c r="C137" s="2"/>
    </row>
    <row r="138" ht="16.5" customHeight="1">
      <c r="B138" s="2"/>
      <c r="C138" s="2"/>
    </row>
    <row r="139" ht="16.5" customHeight="1">
      <c r="B139" s="2"/>
      <c r="C139" s="2"/>
    </row>
    <row r="140" ht="16.5" customHeight="1">
      <c r="B140" s="2"/>
      <c r="C140" s="2"/>
    </row>
    <row r="141" ht="16.5" customHeight="1">
      <c r="B141" s="2"/>
      <c r="C141" s="2"/>
    </row>
    <row r="142" ht="16.5" customHeight="1">
      <c r="B142" s="2"/>
      <c r="C142" s="2"/>
    </row>
    <row r="143" ht="16.5" customHeight="1">
      <c r="B143" s="2"/>
      <c r="C143" s="2"/>
    </row>
    <row r="144" ht="16.5" customHeight="1">
      <c r="B144" s="2"/>
      <c r="C144" s="2"/>
    </row>
    <row r="145" ht="16.5" customHeight="1">
      <c r="B145" s="2"/>
      <c r="C145" s="2"/>
    </row>
    <row r="146" ht="16.5" customHeight="1">
      <c r="B146" s="2"/>
      <c r="C146" s="2"/>
    </row>
    <row r="147" ht="16.5" customHeight="1">
      <c r="B147" s="2"/>
      <c r="C147" s="2"/>
    </row>
    <row r="148" ht="16.5" customHeight="1">
      <c r="B148" s="2"/>
      <c r="C148" s="2"/>
    </row>
    <row r="149" ht="16.5" customHeight="1">
      <c r="B149" s="2"/>
      <c r="C149" s="2"/>
    </row>
    <row r="150" ht="16.5" customHeight="1">
      <c r="B150" s="2"/>
      <c r="C150" s="2"/>
    </row>
    <row r="151" ht="16.5" customHeight="1">
      <c r="B151" s="2"/>
      <c r="C151" s="2"/>
    </row>
    <row r="152" ht="16.5" customHeight="1">
      <c r="B152" s="2"/>
      <c r="C152" s="2"/>
    </row>
    <row r="153" ht="16.5" customHeight="1">
      <c r="B153" s="2"/>
      <c r="C153" s="2"/>
    </row>
    <row r="154" ht="16.5" customHeight="1">
      <c r="B154" s="2"/>
      <c r="C154" s="2"/>
    </row>
    <row r="155" ht="16.5" customHeight="1">
      <c r="B155" s="2"/>
      <c r="C155" s="2"/>
    </row>
    <row r="156" ht="16.5" customHeight="1">
      <c r="B156" s="2"/>
      <c r="C156" s="2"/>
    </row>
    <row r="157" ht="16.5" customHeight="1">
      <c r="B157" s="2"/>
      <c r="C157" s="2"/>
    </row>
    <row r="158" ht="16.5" customHeight="1">
      <c r="B158" s="2"/>
      <c r="C158" s="2"/>
    </row>
    <row r="159" ht="16.5" customHeight="1">
      <c r="B159" s="2"/>
      <c r="C159" s="2"/>
    </row>
    <row r="160" ht="16.5" customHeight="1">
      <c r="B160" s="2"/>
      <c r="C160" s="2"/>
    </row>
    <row r="161" ht="16.5" customHeight="1">
      <c r="B161" s="2"/>
      <c r="C161" s="2"/>
    </row>
    <row r="162" ht="16.5" customHeight="1">
      <c r="B162" s="2"/>
      <c r="C162" s="2"/>
    </row>
    <row r="163" ht="16.5" customHeight="1">
      <c r="B163" s="2"/>
      <c r="C163" s="2"/>
    </row>
    <row r="164" ht="16.5" customHeight="1">
      <c r="B164" s="2"/>
      <c r="C164" s="2"/>
    </row>
    <row r="165" ht="16.5" customHeight="1">
      <c r="B165" s="2"/>
      <c r="C165" s="2"/>
    </row>
    <row r="166" ht="16.5" customHeight="1">
      <c r="B166" s="2"/>
      <c r="C166" s="2"/>
    </row>
    <row r="167" ht="16.5" customHeight="1">
      <c r="B167" s="2"/>
      <c r="C167" s="2"/>
    </row>
    <row r="168" ht="16.5" customHeight="1">
      <c r="B168" s="2"/>
      <c r="C168" s="2"/>
    </row>
    <row r="169" ht="16.5" customHeight="1">
      <c r="B169" s="2"/>
      <c r="C169" s="2"/>
    </row>
    <row r="170" ht="16.5" customHeight="1">
      <c r="B170" s="2"/>
      <c r="C170" s="2"/>
    </row>
    <row r="171" ht="16.5" customHeight="1">
      <c r="B171" s="2"/>
      <c r="C171" s="2"/>
    </row>
    <row r="172" ht="16.5" customHeight="1">
      <c r="B172" s="2"/>
      <c r="C172" s="2"/>
    </row>
    <row r="173" ht="16.5" customHeight="1">
      <c r="B173" s="2"/>
      <c r="C173" s="2"/>
    </row>
    <row r="174" ht="16.5" customHeight="1">
      <c r="B174" s="2"/>
      <c r="C174" s="2"/>
    </row>
    <row r="175" ht="16.5" customHeight="1">
      <c r="B175" s="2"/>
      <c r="C175" s="2"/>
    </row>
    <row r="176" ht="16.5" customHeight="1">
      <c r="B176" s="2"/>
      <c r="C176" s="2"/>
    </row>
    <row r="177" ht="16.5" customHeight="1">
      <c r="B177" s="2"/>
      <c r="C177" s="2"/>
    </row>
    <row r="178" ht="16.5" customHeight="1">
      <c r="B178" s="2"/>
      <c r="C178" s="2"/>
    </row>
    <row r="179" ht="16.5" customHeight="1">
      <c r="B179" s="2"/>
      <c r="C179" s="2"/>
    </row>
    <row r="180" ht="16.5" customHeight="1">
      <c r="B180" s="2"/>
      <c r="C180" s="2"/>
    </row>
    <row r="181" ht="16.5" customHeight="1">
      <c r="B181" s="2"/>
      <c r="C181" s="2"/>
    </row>
    <row r="182" ht="16.5" customHeight="1">
      <c r="B182" s="2"/>
      <c r="C182" s="2"/>
    </row>
    <row r="183" ht="16.5" customHeight="1">
      <c r="B183" s="2"/>
      <c r="C183" s="2"/>
    </row>
    <row r="184" ht="16.5" customHeight="1">
      <c r="B184" s="2"/>
      <c r="C184" s="2"/>
    </row>
    <row r="185" ht="16.5" customHeight="1">
      <c r="B185" s="2"/>
      <c r="C185" s="2"/>
    </row>
    <row r="186" ht="16.5" customHeight="1">
      <c r="B186" s="2"/>
      <c r="C186" s="2"/>
    </row>
    <row r="187" ht="16.5" customHeight="1">
      <c r="B187" s="2"/>
      <c r="C187" s="2"/>
    </row>
    <row r="188" ht="16.5" customHeight="1">
      <c r="B188" s="2"/>
      <c r="C188" s="2"/>
    </row>
    <row r="189" ht="16.5" customHeight="1">
      <c r="B189" s="2"/>
      <c r="C189" s="2"/>
    </row>
    <row r="190" ht="16.5" customHeight="1">
      <c r="B190" s="2"/>
      <c r="C190" s="2"/>
    </row>
    <row r="191" ht="16.5" customHeight="1">
      <c r="B191" s="2"/>
      <c r="C191" s="2"/>
    </row>
    <row r="192" ht="16.5" customHeight="1">
      <c r="B192" s="2"/>
      <c r="C192" s="2"/>
    </row>
    <row r="193" ht="16.5" customHeight="1">
      <c r="B193" s="2"/>
      <c r="C193" s="2"/>
    </row>
    <row r="194" ht="16.5" customHeight="1">
      <c r="B194" s="2"/>
      <c r="C194" s="2"/>
    </row>
    <row r="195" ht="16.5" customHeight="1">
      <c r="B195" s="2"/>
      <c r="C195" s="2"/>
    </row>
    <row r="196" ht="16.5" customHeight="1">
      <c r="B196" s="2"/>
      <c r="C196" s="2"/>
    </row>
    <row r="197" ht="16.5" customHeight="1">
      <c r="B197" s="2"/>
      <c r="C197" s="2"/>
    </row>
    <row r="198" ht="16.5" customHeight="1">
      <c r="B198" s="2"/>
      <c r="C198" s="2"/>
    </row>
    <row r="199" ht="16.5" customHeight="1">
      <c r="B199" s="2"/>
      <c r="C199" s="2"/>
    </row>
    <row r="200" ht="16.5" customHeight="1">
      <c r="B200" s="2"/>
      <c r="C200" s="2"/>
    </row>
    <row r="201" ht="16.5" customHeight="1">
      <c r="B201" s="2"/>
      <c r="C201" s="2"/>
    </row>
    <row r="202" ht="16.5" customHeight="1">
      <c r="B202" s="2"/>
      <c r="C202" s="2"/>
    </row>
    <row r="203" ht="16.5" customHeight="1">
      <c r="B203" s="2"/>
      <c r="C203" s="2"/>
    </row>
    <row r="204" ht="16.5" customHeight="1">
      <c r="B204" s="2"/>
      <c r="C204" s="2"/>
    </row>
    <row r="205" ht="16.5" customHeight="1">
      <c r="B205" s="2"/>
      <c r="C205" s="2"/>
    </row>
    <row r="206" ht="16.5" customHeight="1">
      <c r="B206" s="2"/>
      <c r="C206" s="2"/>
    </row>
    <row r="207" ht="16.5" customHeight="1">
      <c r="B207" s="2"/>
      <c r="C207" s="2"/>
    </row>
    <row r="208" ht="16.5" customHeight="1">
      <c r="B208" s="2"/>
      <c r="C208" s="2"/>
    </row>
    <row r="209" ht="16.5" customHeight="1">
      <c r="B209" s="2"/>
      <c r="C209" s="2"/>
    </row>
    <row r="210" ht="16.5" customHeight="1">
      <c r="B210" s="2"/>
      <c r="C210" s="2"/>
    </row>
    <row r="211" ht="16.5" customHeight="1">
      <c r="B211" s="2"/>
      <c r="C211" s="2"/>
    </row>
    <row r="212" ht="16.5" customHeight="1">
      <c r="B212" s="2"/>
      <c r="C212" s="2"/>
    </row>
    <row r="213" ht="16.5" customHeight="1">
      <c r="B213" s="2"/>
      <c r="C213" s="2"/>
    </row>
    <row r="214" ht="16.5" customHeight="1">
      <c r="B214" s="2"/>
      <c r="C214" s="2"/>
    </row>
    <row r="215" ht="16.5" customHeight="1">
      <c r="B215" s="2"/>
      <c r="C215" s="2"/>
    </row>
    <row r="216" ht="16.5" customHeight="1">
      <c r="B216" s="2"/>
      <c r="C216" s="2"/>
    </row>
    <row r="217" ht="16.5" customHeight="1">
      <c r="B217" s="2"/>
      <c r="C217" s="2"/>
    </row>
    <row r="218" ht="16.5" customHeight="1">
      <c r="B218" s="2"/>
      <c r="C218" s="2"/>
    </row>
    <row r="219" ht="16.5" customHeight="1">
      <c r="B219" s="2"/>
      <c r="C219" s="2"/>
    </row>
    <row r="220" ht="16.5" customHeight="1">
      <c r="B220" s="2"/>
      <c r="C220" s="2"/>
    </row>
    <row r="221" ht="16.5" customHeight="1">
      <c r="B221" s="2"/>
      <c r="C221" s="2"/>
    </row>
    <row r="222" ht="16.5" customHeight="1">
      <c r="B222" s="2"/>
      <c r="C222" s="2"/>
    </row>
    <row r="223" ht="16.5" customHeight="1">
      <c r="B223" s="2"/>
      <c r="C223" s="2"/>
    </row>
    <row r="224" ht="16.5" customHeight="1">
      <c r="B224" s="2"/>
      <c r="C224" s="2"/>
    </row>
    <row r="225" ht="16.5" customHeight="1">
      <c r="B225" s="2"/>
      <c r="C225" s="2"/>
    </row>
    <row r="226" ht="16.5" customHeight="1">
      <c r="B226" s="2"/>
      <c r="C226" s="2"/>
    </row>
    <row r="227" ht="16.5" customHeight="1">
      <c r="B227" s="2"/>
      <c r="C227" s="2"/>
    </row>
    <row r="228" ht="16.5" customHeight="1">
      <c r="B228" s="2"/>
      <c r="C228" s="2"/>
    </row>
    <row r="229" ht="16.5" customHeight="1">
      <c r="B229" s="2"/>
      <c r="C229" s="2"/>
    </row>
    <row r="230" ht="16.5" customHeight="1">
      <c r="B230" s="2"/>
      <c r="C230" s="2"/>
    </row>
    <row r="231" ht="16.5" customHeight="1">
      <c r="B231" s="2"/>
      <c r="C231" s="2"/>
    </row>
    <row r="232" ht="16.5" customHeight="1">
      <c r="B232" s="2"/>
      <c r="C232" s="2"/>
    </row>
    <row r="233" ht="16.5" customHeight="1">
      <c r="B233" s="2"/>
      <c r="C233" s="2"/>
    </row>
    <row r="234" ht="16.5" customHeight="1">
      <c r="B234" s="2"/>
      <c r="C234" s="2"/>
    </row>
    <row r="235" ht="16.5" customHeight="1">
      <c r="B235" s="2"/>
      <c r="C235" s="2"/>
    </row>
    <row r="236" ht="16.5" customHeight="1">
      <c r="B236" s="2"/>
      <c r="C236" s="2"/>
    </row>
    <row r="237" ht="16.5" customHeight="1">
      <c r="B237" s="2"/>
      <c r="C237" s="2"/>
    </row>
    <row r="238" ht="16.5" customHeight="1">
      <c r="B238" s="2"/>
      <c r="C238" s="2"/>
    </row>
    <row r="239" ht="16.5" customHeight="1">
      <c r="B239" s="2"/>
      <c r="C239" s="2"/>
    </row>
    <row r="240" ht="16.5" customHeight="1">
      <c r="B240" s="2"/>
      <c r="C240" s="2"/>
    </row>
    <row r="241" ht="16.5" customHeight="1">
      <c r="B241" s="2"/>
      <c r="C241" s="2"/>
    </row>
    <row r="242" ht="16.5" customHeight="1">
      <c r="B242" s="2"/>
      <c r="C242" s="2"/>
    </row>
    <row r="243" ht="16.5" customHeight="1">
      <c r="B243" s="2"/>
      <c r="C243" s="2"/>
    </row>
    <row r="244" ht="16.5" customHeight="1">
      <c r="B244" s="2"/>
      <c r="C244" s="2"/>
    </row>
    <row r="245" ht="16.5" customHeight="1">
      <c r="B245" s="2"/>
      <c r="C245" s="2"/>
    </row>
    <row r="246" ht="16.5" customHeight="1">
      <c r="B246" s="2"/>
      <c r="C246" s="2"/>
    </row>
    <row r="247" ht="16.5" customHeight="1">
      <c r="B247" s="2"/>
      <c r="C247" s="2"/>
    </row>
    <row r="248" ht="16.5" customHeight="1">
      <c r="B248" s="2"/>
      <c r="C248" s="2"/>
    </row>
    <row r="249" ht="16.5" customHeight="1">
      <c r="B249" s="2"/>
      <c r="C249" s="2"/>
    </row>
    <row r="250" ht="16.5" customHeight="1">
      <c r="B250" s="2"/>
      <c r="C250" s="2"/>
    </row>
    <row r="251" ht="16.5" customHeight="1">
      <c r="B251" s="2"/>
      <c r="C251" s="2"/>
    </row>
    <row r="252" ht="16.5" customHeight="1">
      <c r="B252" s="2"/>
      <c r="C252" s="2"/>
    </row>
    <row r="253" ht="16.5" customHeight="1">
      <c r="B253" s="2"/>
      <c r="C253" s="2"/>
    </row>
    <row r="254" ht="16.5" customHeight="1">
      <c r="B254" s="2"/>
      <c r="C254" s="2"/>
    </row>
    <row r="255" ht="16.5" customHeight="1">
      <c r="B255" s="2"/>
      <c r="C255" s="2"/>
    </row>
    <row r="256" ht="16.5" customHeight="1">
      <c r="B256" s="2"/>
      <c r="C256" s="2"/>
    </row>
    <row r="257" ht="16.5" customHeight="1">
      <c r="B257" s="2"/>
      <c r="C257" s="2"/>
    </row>
    <row r="258" ht="16.5" customHeight="1">
      <c r="B258" s="2"/>
      <c r="C258" s="2"/>
    </row>
    <row r="259" ht="16.5" customHeight="1">
      <c r="B259" s="2"/>
      <c r="C259" s="2"/>
    </row>
    <row r="260" ht="16.5" customHeight="1">
      <c r="B260" s="2"/>
      <c r="C260" s="2"/>
    </row>
    <row r="261" ht="16.5" customHeight="1">
      <c r="B261" s="2"/>
      <c r="C261" s="2"/>
    </row>
    <row r="262" ht="16.5" customHeight="1">
      <c r="B262" s="2"/>
      <c r="C262" s="2"/>
    </row>
    <row r="263" ht="16.5" customHeight="1">
      <c r="B263" s="2"/>
      <c r="C263" s="2"/>
    </row>
    <row r="264" ht="16.5" customHeight="1">
      <c r="B264" s="2"/>
      <c r="C264" s="2"/>
    </row>
    <row r="265" ht="16.5" customHeight="1">
      <c r="B265" s="2"/>
      <c r="C265" s="2"/>
    </row>
    <row r="266" ht="16.5" customHeight="1">
      <c r="B266" s="2"/>
      <c r="C266" s="2"/>
    </row>
    <row r="267" ht="16.5" customHeight="1">
      <c r="B267" s="2"/>
      <c r="C267" s="2"/>
    </row>
    <row r="268" ht="16.5" customHeight="1">
      <c r="B268" s="2"/>
      <c r="C268" s="2"/>
    </row>
    <row r="269" ht="16.5" customHeight="1">
      <c r="B269" s="2"/>
      <c r="C269" s="2"/>
    </row>
    <row r="270" ht="16.5" customHeight="1">
      <c r="B270" s="2"/>
      <c r="C270" s="2"/>
    </row>
    <row r="271" ht="16.5" customHeight="1">
      <c r="B271" s="2"/>
      <c r="C271" s="2"/>
    </row>
    <row r="272" ht="16.5" customHeight="1">
      <c r="B272" s="2"/>
      <c r="C272" s="2"/>
    </row>
    <row r="273" ht="16.5" customHeight="1">
      <c r="B273" s="2"/>
      <c r="C273" s="2"/>
    </row>
    <row r="274" ht="16.5" customHeight="1">
      <c r="B274" s="2"/>
      <c r="C274" s="2"/>
    </row>
    <row r="275" ht="16.5" customHeight="1">
      <c r="B275" s="2"/>
      <c r="C275" s="2"/>
    </row>
    <row r="276" ht="16.5" customHeight="1">
      <c r="B276" s="2"/>
      <c r="C276" s="2"/>
    </row>
    <row r="277" ht="16.5" customHeight="1">
      <c r="B277" s="2"/>
      <c r="C277" s="2"/>
    </row>
    <row r="278" ht="16.5" customHeight="1">
      <c r="B278" s="2"/>
      <c r="C278" s="2"/>
    </row>
    <row r="279" ht="16.5" customHeight="1">
      <c r="B279" s="2"/>
      <c r="C279" s="2"/>
    </row>
    <row r="280" ht="16.5" customHeight="1">
      <c r="B280" s="2"/>
      <c r="C280" s="2"/>
    </row>
    <row r="281" ht="16.5" customHeight="1">
      <c r="B281" s="2"/>
      <c r="C281" s="2"/>
    </row>
    <row r="282" ht="16.5" customHeight="1">
      <c r="B282" s="2"/>
      <c r="C282" s="2"/>
    </row>
    <row r="283" ht="16.5" customHeight="1">
      <c r="B283" s="2"/>
      <c r="C283" s="2"/>
    </row>
    <row r="284" ht="16.5" customHeight="1">
      <c r="B284" s="2"/>
      <c r="C284" s="2"/>
    </row>
    <row r="285" ht="16.5" customHeight="1">
      <c r="B285" s="2"/>
      <c r="C285" s="2"/>
    </row>
    <row r="286" ht="16.5" customHeight="1">
      <c r="B286" s="2"/>
      <c r="C286" s="2"/>
    </row>
    <row r="287" ht="16.5" customHeight="1">
      <c r="B287" s="2"/>
      <c r="C287" s="2"/>
    </row>
    <row r="288" ht="16.5" customHeight="1">
      <c r="B288" s="2"/>
      <c r="C288" s="2"/>
    </row>
    <row r="289" ht="16.5" customHeight="1">
      <c r="B289" s="2"/>
      <c r="C289" s="2"/>
    </row>
    <row r="290" ht="16.5" customHeight="1">
      <c r="B290" s="2"/>
      <c r="C290" s="2"/>
    </row>
    <row r="291" ht="16.5" customHeight="1">
      <c r="B291" s="2"/>
      <c r="C291" s="2"/>
    </row>
    <row r="292" ht="16.5" customHeight="1">
      <c r="B292" s="2"/>
      <c r="C292" s="2"/>
    </row>
    <row r="293" ht="16.5" customHeight="1">
      <c r="B293" s="2"/>
      <c r="C293" s="2"/>
    </row>
    <row r="294" ht="16.5" customHeight="1">
      <c r="B294" s="2"/>
      <c r="C294" s="2"/>
    </row>
    <row r="295" ht="16.5" customHeight="1">
      <c r="B295" s="2"/>
      <c r="C295" s="2"/>
    </row>
    <row r="296" ht="16.5" customHeight="1">
      <c r="B296" s="2"/>
      <c r="C296" s="2"/>
    </row>
    <row r="297" ht="16.5" customHeight="1">
      <c r="B297" s="2"/>
      <c r="C297" s="2"/>
    </row>
    <row r="298" ht="16.5" customHeight="1">
      <c r="B298" s="2"/>
      <c r="C298" s="2"/>
    </row>
    <row r="299" ht="16.5" customHeight="1">
      <c r="B299" s="2"/>
      <c r="C299" s="2"/>
    </row>
    <row r="300" ht="16.5" customHeight="1">
      <c r="B300" s="2"/>
      <c r="C300" s="2"/>
    </row>
    <row r="301" ht="16.5" customHeight="1">
      <c r="B301" s="2"/>
      <c r="C301" s="2"/>
    </row>
    <row r="302" ht="16.5" customHeight="1">
      <c r="B302" s="2"/>
      <c r="C302" s="2"/>
    </row>
    <row r="303" ht="16.5" customHeight="1">
      <c r="B303" s="2"/>
      <c r="C303" s="2"/>
    </row>
    <row r="304" ht="16.5" customHeight="1">
      <c r="B304" s="2"/>
      <c r="C304" s="2"/>
    </row>
    <row r="305" ht="16.5" customHeight="1">
      <c r="B305" s="2"/>
      <c r="C305" s="2"/>
    </row>
    <row r="306" ht="16.5" customHeight="1">
      <c r="B306" s="2"/>
      <c r="C306" s="2"/>
    </row>
    <row r="307" ht="16.5" customHeight="1">
      <c r="B307" s="2"/>
      <c r="C307" s="2"/>
    </row>
    <row r="308" ht="16.5" customHeight="1">
      <c r="B308" s="2"/>
      <c r="C308" s="2"/>
    </row>
    <row r="309" ht="16.5" customHeight="1">
      <c r="B309" s="2"/>
      <c r="C309" s="2"/>
    </row>
    <row r="310" ht="16.5" customHeight="1">
      <c r="B310" s="2"/>
      <c r="C310" s="2"/>
    </row>
    <row r="311" ht="16.5" customHeight="1">
      <c r="B311" s="2"/>
      <c r="C311" s="2"/>
    </row>
    <row r="312" ht="16.5" customHeight="1">
      <c r="B312" s="2"/>
      <c r="C312" s="2"/>
    </row>
    <row r="313" ht="16.5" customHeight="1">
      <c r="B313" s="2"/>
      <c r="C313" s="2"/>
    </row>
    <row r="314" ht="16.5" customHeight="1">
      <c r="B314" s="2"/>
      <c r="C314" s="2"/>
    </row>
    <row r="315" ht="16.5" customHeight="1">
      <c r="B315" s="2"/>
      <c r="C315" s="2"/>
    </row>
    <row r="316" ht="16.5" customHeight="1">
      <c r="B316" s="2"/>
      <c r="C316" s="2"/>
    </row>
    <row r="317" ht="16.5" customHeight="1">
      <c r="B317" s="2"/>
      <c r="C317" s="2"/>
    </row>
    <row r="318" ht="16.5" customHeight="1">
      <c r="B318" s="2"/>
      <c r="C318" s="2"/>
    </row>
    <row r="319" ht="16.5" customHeight="1">
      <c r="B319" s="2"/>
      <c r="C319" s="2"/>
    </row>
    <row r="320" ht="16.5" customHeight="1">
      <c r="B320" s="2"/>
      <c r="C320" s="2"/>
    </row>
    <row r="321" ht="16.5" customHeight="1">
      <c r="B321" s="2"/>
      <c r="C321" s="2"/>
    </row>
    <row r="322" ht="16.5" customHeight="1">
      <c r="B322" s="2"/>
      <c r="C322" s="2"/>
    </row>
    <row r="323" ht="16.5" customHeight="1">
      <c r="B323" s="2"/>
      <c r="C323" s="2"/>
    </row>
    <row r="324" ht="16.5" customHeight="1">
      <c r="B324" s="2"/>
      <c r="C324" s="2"/>
    </row>
    <row r="325" ht="16.5" customHeight="1">
      <c r="B325" s="2"/>
      <c r="C325" s="2"/>
    </row>
    <row r="326" ht="16.5" customHeight="1">
      <c r="B326" s="2"/>
      <c r="C326" s="2"/>
    </row>
    <row r="327" ht="16.5" customHeight="1">
      <c r="B327" s="2"/>
      <c r="C327" s="2"/>
    </row>
    <row r="328" ht="16.5" customHeight="1">
      <c r="B328" s="2"/>
      <c r="C328" s="2"/>
    </row>
    <row r="329" ht="16.5" customHeight="1">
      <c r="B329" s="2"/>
      <c r="C329" s="2"/>
    </row>
    <row r="330" ht="16.5" customHeight="1">
      <c r="B330" s="2"/>
      <c r="C330" s="2"/>
    </row>
    <row r="331" ht="16.5" customHeight="1">
      <c r="B331" s="2"/>
      <c r="C331" s="2"/>
    </row>
    <row r="332" ht="16.5" customHeight="1">
      <c r="B332" s="2"/>
      <c r="C332" s="2"/>
    </row>
    <row r="333" ht="16.5" customHeight="1">
      <c r="B333" s="2"/>
      <c r="C333" s="2"/>
    </row>
    <row r="334" ht="16.5" customHeight="1">
      <c r="B334" s="2"/>
      <c r="C334" s="2"/>
    </row>
    <row r="335" ht="16.5" customHeight="1">
      <c r="B335" s="2"/>
      <c r="C335" s="2"/>
    </row>
    <row r="336" ht="16.5" customHeight="1">
      <c r="B336" s="2"/>
      <c r="C336" s="2"/>
    </row>
    <row r="337" ht="16.5" customHeight="1">
      <c r="B337" s="2"/>
      <c r="C337" s="2"/>
    </row>
    <row r="338" ht="16.5" customHeight="1">
      <c r="B338" s="2"/>
      <c r="C338" s="2"/>
    </row>
    <row r="339" ht="16.5" customHeight="1">
      <c r="B339" s="2"/>
      <c r="C339" s="2"/>
    </row>
    <row r="340" ht="16.5" customHeight="1">
      <c r="B340" s="2"/>
      <c r="C340" s="2"/>
    </row>
    <row r="341" ht="16.5" customHeight="1">
      <c r="B341" s="2"/>
      <c r="C341" s="2"/>
    </row>
    <row r="342" ht="16.5" customHeight="1">
      <c r="B342" s="2"/>
      <c r="C342" s="2"/>
    </row>
    <row r="343" ht="16.5" customHeight="1">
      <c r="B343" s="2"/>
      <c r="C343" s="2"/>
    </row>
    <row r="344" ht="16.5" customHeight="1">
      <c r="B344" s="2"/>
      <c r="C344" s="2"/>
    </row>
    <row r="345" ht="16.5" customHeight="1">
      <c r="B345" s="2"/>
      <c r="C345" s="2"/>
    </row>
    <row r="346" ht="16.5" customHeight="1">
      <c r="B346" s="2"/>
      <c r="C346" s="2"/>
    </row>
    <row r="347" ht="16.5" customHeight="1">
      <c r="B347" s="2"/>
      <c r="C347" s="2"/>
    </row>
    <row r="348" ht="16.5" customHeight="1">
      <c r="B348" s="2"/>
      <c r="C348" s="2"/>
    </row>
    <row r="349" ht="16.5" customHeight="1">
      <c r="B349" s="2"/>
      <c r="C349" s="2"/>
    </row>
    <row r="350" ht="16.5" customHeight="1">
      <c r="B350" s="2"/>
      <c r="C350" s="2"/>
    </row>
    <row r="351" ht="16.5" customHeight="1">
      <c r="B351" s="2"/>
      <c r="C351" s="2"/>
    </row>
    <row r="352" ht="16.5" customHeight="1">
      <c r="B352" s="2"/>
      <c r="C352" s="2"/>
    </row>
    <row r="353" ht="16.5" customHeight="1">
      <c r="B353" s="2"/>
      <c r="C353" s="2"/>
    </row>
    <row r="354" ht="16.5" customHeight="1">
      <c r="B354" s="2"/>
      <c r="C354" s="2"/>
    </row>
    <row r="355" ht="16.5" customHeight="1">
      <c r="B355" s="2"/>
      <c r="C355" s="2"/>
    </row>
    <row r="356" ht="16.5" customHeight="1">
      <c r="B356" s="2"/>
      <c r="C356" s="2"/>
    </row>
    <row r="357" ht="16.5" customHeight="1">
      <c r="B357" s="2"/>
      <c r="C357" s="2"/>
    </row>
    <row r="358" ht="16.5" customHeight="1">
      <c r="B358" s="2"/>
      <c r="C358" s="2"/>
    </row>
    <row r="359" ht="16.5" customHeight="1">
      <c r="B359" s="2"/>
      <c r="C359" s="2"/>
    </row>
    <row r="360" ht="16.5" customHeight="1">
      <c r="B360" s="2"/>
      <c r="C360" s="2"/>
    </row>
    <row r="361" ht="16.5" customHeight="1">
      <c r="B361" s="2"/>
      <c r="C361" s="2"/>
    </row>
    <row r="362" ht="16.5" customHeight="1">
      <c r="B362" s="2"/>
      <c r="C362" s="2"/>
    </row>
    <row r="363" ht="16.5" customHeight="1">
      <c r="B363" s="2"/>
      <c r="C363" s="2"/>
    </row>
    <row r="364" ht="16.5" customHeight="1">
      <c r="B364" s="2"/>
      <c r="C364" s="2"/>
    </row>
    <row r="365" ht="16.5" customHeight="1">
      <c r="B365" s="2"/>
      <c r="C365" s="2"/>
    </row>
    <row r="366" ht="16.5" customHeight="1">
      <c r="B366" s="2"/>
      <c r="C366" s="2"/>
    </row>
    <row r="367" ht="16.5" customHeight="1">
      <c r="B367" s="2"/>
      <c r="C367" s="2"/>
    </row>
    <row r="368" ht="16.5" customHeight="1">
      <c r="B368" s="2"/>
      <c r="C368" s="2"/>
    </row>
    <row r="369" ht="16.5" customHeight="1">
      <c r="B369" s="2"/>
      <c r="C369" s="2"/>
    </row>
    <row r="370" ht="16.5" customHeight="1">
      <c r="B370" s="2"/>
      <c r="C370" s="2"/>
    </row>
    <row r="371" ht="16.5" customHeight="1">
      <c r="B371" s="2"/>
      <c r="C371" s="2"/>
    </row>
    <row r="372" ht="16.5" customHeight="1">
      <c r="B372" s="2"/>
      <c r="C372" s="2"/>
    </row>
    <row r="373" ht="16.5" customHeight="1">
      <c r="B373" s="2"/>
      <c r="C373" s="2"/>
    </row>
    <row r="374" ht="16.5" customHeight="1">
      <c r="B374" s="2"/>
      <c r="C374" s="2"/>
    </row>
    <row r="375" ht="16.5" customHeight="1">
      <c r="B375" s="2"/>
      <c r="C375" s="2"/>
    </row>
    <row r="376" ht="16.5" customHeight="1">
      <c r="B376" s="2"/>
      <c r="C376" s="2"/>
    </row>
    <row r="377" ht="16.5" customHeight="1">
      <c r="B377" s="2"/>
      <c r="C377" s="2"/>
    </row>
    <row r="378" ht="16.5" customHeight="1">
      <c r="B378" s="2"/>
      <c r="C378" s="2"/>
    </row>
    <row r="379" ht="16.5" customHeight="1">
      <c r="B379" s="2"/>
      <c r="C379" s="2"/>
    </row>
    <row r="380" ht="16.5" customHeight="1">
      <c r="B380" s="2"/>
      <c r="C380" s="2"/>
    </row>
    <row r="381" ht="16.5" customHeight="1">
      <c r="B381" s="2"/>
      <c r="C381" s="2"/>
    </row>
    <row r="382" ht="16.5" customHeight="1">
      <c r="B382" s="2"/>
      <c r="C382" s="2"/>
    </row>
    <row r="383" ht="16.5" customHeight="1">
      <c r="B383" s="2"/>
      <c r="C383" s="2"/>
    </row>
    <row r="384" ht="16.5" customHeight="1">
      <c r="B384" s="2"/>
      <c r="C384" s="2"/>
    </row>
    <row r="385" ht="16.5" customHeight="1">
      <c r="B385" s="2"/>
      <c r="C385" s="2"/>
    </row>
    <row r="386" ht="16.5" customHeight="1">
      <c r="B386" s="2"/>
      <c r="C386" s="2"/>
    </row>
    <row r="387" ht="16.5" customHeight="1">
      <c r="B387" s="2"/>
      <c r="C387" s="2"/>
    </row>
    <row r="388" ht="16.5" customHeight="1">
      <c r="B388" s="2"/>
      <c r="C388" s="2"/>
    </row>
    <row r="389" ht="16.5" customHeight="1">
      <c r="B389" s="2"/>
      <c r="C389" s="2"/>
    </row>
    <row r="390" ht="16.5" customHeight="1">
      <c r="B390" s="2"/>
      <c r="C390" s="2"/>
    </row>
    <row r="391" ht="16.5" customHeight="1">
      <c r="B391" s="2"/>
      <c r="C391" s="2"/>
    </row>
    <row r="392" ht="16.5" customHeight="1">
      <c r="B392" s="2"/>
      <c r="C392" s="2"/>
    </row>
    <row r="393" ht="16.5" customHeight="1">
      <c r="B393" s="2"/>
      <c r="C393" s="2"/>
    </row>
    <row r="394" ht="16.5" customHeight="1">
      <c r="B394" s="2"/>
      <c r="C394" s="2"/>
    </row>
    <row r="395" ht="16.5" customHeight="1">
      <c r="B395" s="2"/>
      <c r="C395" s="2"/>
    </row>
    <row r="396" ht="16.5" customHeight="1">
      <c r="B396" s="2"/>
      <c r="C396" s="2"/>
    </row>
    <row r="397" ht="16.5" customHeight="1">
      <c r="B397" s="2"/>
      <c r="C397" s="2"/>
    </row>
    <row r="398" ht="16.5" customHeight="1">
      <c r="B398" s="2"/>
      <c r="C398" s="2"/>
    </row>
    <row r="399" ht="16.5" customHeight="1">
      <c r="B399" s="2"/>
      <c r="C399" s="2"/>
    </row>
    <row r="400" ht="16.5" customHeight="1">
      <c r="B400" s="2"/>
      <c r="C400" s="2"/>
    </row>
    <row r="401" ht="16.5" customHeight="1">
      <c r="B401" s="2"/>
      <c r="C401" s="2"/>
    </row>
    <row r="402" ht="16.5" customHeight="1">
      <c r="B402" s="2"/>
      <c r="C402" s="2"/>
    </row>
    <row r="403" ht="16.5" customHeight="1">
      <c r="B403" s="2"/>
      <c r="C403" s="2"/>
    </row>
    <row r="404" ht="16.5" customHeight="1">
      <c r="B404" s="2"/>
      <c r="C404" s="2"/>
    </row>
    <row r="405" ht="16.5" customHeight="1">
      <c r="B405" s="2"/>
      <c r="C405" s="2"/>
    </row>
    <row r="406" ht="16.5" customHeight="1">
      <c r="B406" s="2"/>
      <c r="C406" s="2"/>
    </row>
    <row r="407" ht="16.5" customHeight="1">
      <c r="B407" s="2"/>
      <c r="C407" s="2"/>
    </row>
    <row r="408" ht="16.5" customHeight="1">
      <c r="B408" s="2"/>
      <c r="C408" s="2"/>
    </row>
    <row r="409" ht="16.5" customHeight="1">
      <c r="B409" s="2"/>
      <c r="C409" s="2"/>
    </row>
    <row r="410" ht="16.5" customHeight="1">
      <c r="B410" s="2"/>
      <c r="C410" s="2"/>
    </row>
    <row r="411" ht="16.5" customHeight="1">
      <c r="B411" s="2"/>
      <c r="C411" s="2"/>
    </row>
    <row r="412" ht="16.5" customHeight="1">
      <c r="B412" s="2"/>
      <c r="C412" s="2"/>
    </row>
    <row r="413" ht="16.5" customHeight="1">
      <c r="B413" s="2"/>
      <c r="C413" s="2"/>
    </row>
    <row r="414" ht="16.5" customHeight="1">
      <c r="B414" s="2"/>
      <c r="C414" s="2"/>
    </row>
    <row r="415" ht="16.5" customHeight="1">
      <c r="B415" s="2"/>
      <c r="C415" s="2"/>
    </row>
    <row r="416" ht="16.5" customHeight="1">
      <c r="B416" s="2"/>
      <c r="C416" s="2"/>
    </row>
    <row r="417" ht="16.5" customHeight="1">
      <c r="B417" s="2"/>
      <c r="C417" s="2"/>
    </row>
    <row r="418" ht="16.5" customHeight="1">
      <c r="B418" s="2"/>
      <c r="C418" s="2"/>
    </row>
    <row r="419" ht="16.5" customHeight="1">
      <c r="B419" s="2"/>
      <c r="C419" s="2"/>
    </row>
    <row r="420" ht="16.5" customHeight="1">
      <c r="B420" s="2"/>
      <c r="C420" s="2"/>
    </row>
    <row r="421" ht="16.5" customHeight="1">
      <c r="B421" s="2"/>
      <c r="C421" s="2"/>
    </row>
    <row r="422" ht="16.5" customHeight="1">
      <c r="B422" s="2"/>
      <c r="C422" s="2"/>
    </row>
    <row r="423" ht="16.5" customHeight="1">
      <c r="B423" s="2"/>
      <c r="C423" s="2"/>
    </row>
    <row r="424" ht="16.5" customHeight="1">
      <c r="B424" s="2"/>
      <c r="C424" s="2"/>
    </row>
    <row r="425" ht="16.5" customHeight="1">
      <c r="B425" s="2"/>
      <c r="C425" s="2"/>
    </row>
    <row r="426" ht="16.5" customHeight="1">
      <c r="B426" s="2"/>
      <c r="C426" s="2"/>
    </row>
    <row r="427" ht="16.5" customHeight="1">
      <c r="B427" s="2"/>
      <c r="C427" s="2"/>
    </row>
    <row r="428" ht="16.5" customHeight="1">
      <c r="B428" s="2"/>
      <c r="C428" s="2"/>
    </row>
    <row r="429" ht="16.5" customHeight="1">
      <c r="B429" s="2"/>
      <c r="C429" s="2"/>
    </row>
    <row r="430" ht="16.5" customHeight="1">
      <c r="B430" s="2"/>
      <c r="C430" s="2"/>
    </row>
    <row r="431" ht="16.5" customHeight="1">
      <c r="B431" s="2"/>
      <c r="C431" s="2"/>
    </row>
    <row r="432" ht="16.5" customHeight="1">
      <c r="B432" s="2"/>
      <c r="C432" s="2"/>
    </row>
    <row r="433" ht="16.5" customHeight="1">
      <c r="B433" s="2"/>
      <c r="C433" s="2"/>
    </row>
    <row r="434" ht="16.5" customHeight="1">
      <c r="B434" s="2"/>
      <c r="C434" s="2"/>
    </row>
    <row r="435" ht="16.5" customHeight="1">
      <c r="B435" s="2"/>
      <c r="C435" s="2"/>
    </row>
    <row r="436" ht="16.5" customHeight="1">
      <c r="B436" s="2"/>
      <c r="C436" s="2"/>
    </row>
    <row r="437" ht="16.5" customHeight="1">
      <c r="B437" s="2"/>
      <c r="C437" s="2"/>
    </row>
    <row r="438" ht="16.5" customHeight="1">
      <c r="B438" s="2"/>
      <c r="C438" s="2"/>
    </row>
    <row r="439" ht="16.5" customHeight="1">
      <c r="B439" s="2"/>
      <c r="C439" s="2"/>
    </row>
    <row r="440" ht="16.5" customHeight="1">
      <c r="B440" s="2"/>
      <c r="C440" s="2"/>
    </row>
    <row r="441" ht="16.5" customHeight="1">
      <c r="B441" s="2"/>
      <c r="C441" s="2"/>
    </row>
    <row r="442" ht="16.5" customHeight="1">
      <c r="B442" s="2"/>
      <c r="C442" s="2"/>
    </row>
    <row r="443" ht="16.5" customHeight="1">
      <c r="B443" s="2"/>
      <c r="C443" s="2"/>
    </row>
    <row r="444" ht="16.5" customHeight="1">
      <c r="B444" s="2"/>
      <c r="C444" s="2"/>
    </row>
    <row r="445" ht="16.5" customHeight="1">
      <c r="B445" s="2"/>
      <c r="C445" s="2"/>
    </row>
    <row r="446" ht="16.5" customHeight="1">
      <c r="B446" s="2"/>
      <c r="C446" s="2"/>
    </row>
    <row r="447" ht="16.5" customHeight="1">
      <c r="B447" s="2"/>
      <c r="C447" s="2"/>
    </row>
    <row r="448" ht="16.5" customHeight="1">
      <c r="B448" s="2"/>
      <c r="C448" s="2"/>
    </row>
    <row r="449" ht="16.5" customHeight="1">
      <c r="B449" s="2"/>
      <c r="C449" s="2"/>
    </row>
    <row r="450" ht="16.5" customHeight="1">
      <c r="B450" s="2"/>
      <c r="C450" s="2"/>
    </row>
    <row r="451" ht="16.5" customHeight="1">
      <c r="B451" s="2"/>
      <c r="C451" s="2"/>
    </row>
    <row r="452" ht="16.5" customHeight="1">
      <c r="B452" s="2"/>
      <c r="C452" s="2"/>
    </row>
    <row r="453" ht="16.5" customHeight="1">
      <c r="B453" s="2"/>
      <c r="C453" s="2"/>
    </row>
    <row r="454" ht="16.5" customHeight="1">
      <c r="B454" s="2"/>
      <c r="C454" s="2"/>
    </row>
    <row r="455" ht="16.5" customHeight="1">
      <c r="B455" s="2"/>
      <c r="C455" s="2"/>
    </row>
    <row r="456" ht="16.5" customHeight="1">
      <c r="B456" s="2"/>
      <c r="C456" s="2"/>
    </row>
    <row r="457" ht="16.5" customHeight="1">
      <c r="B457" s="2"/>
      <c r="C457" s="2"/>
    </row>
    <row r="458" ht="16.5" customHeight="1">
      <c r="B458" s="2"/>
      <c r="C458" s="2"/>
    </row>
    <row r="459" ht="16.5" customHeight="1">
      <c r="B459" s="2"/>
      <c r="C459" s="2"/>
    </row>
    <row r="460" ht="16.5" customHeight="1">
      <c r="B460" s="2"/>
      <c r="C460" s="2"/>
    </row>
    <row r="461" ht="16.5" customHeight="1">
      <c r="B461" s="2"/>
      <c r="C461" s="2"/>
    </row>
    <row r="462" ht="16.5" customHeight="1">
      <c r="B462" s="2"/>
      <c r="C462" s="2"/>
    </row>
    <row r="463" ht="16.5" customHeight="1">
      <c r="B463" s="2"/>
      <c r="C463" s="2"/>
    </row>
    <row r="464" ht="16.5" customHeight="1">
      <c r="B464" s="2"/>
      <c r="C464" s="2"/>
    </row>
    <row r="465" ht="16.5" customHeight="1">
      <c r="B465" s="2"/>
      <c r="C465" s="2"/>
    </row>
    <row r="466" ht="16.5" customHeight="1">
      <c r="B466" s="2"/>
      <c r="C466" s="2"/>
    </row>
    <row r="467" ht="16.5" customHeight="1">
      <c r="B467" s="2"/>
      <c r="C467" s="2"/>
    </row>
    <row r="468" ht="16.5" customHeight="1">
      <c r="B468" s="2"/>
      <c r="C468" s="2"/>
    </row>
    <row r="469" ht="16.5" customHeight="1">
      <c r="B469" s="2"/>
      <c r="C469" s="2"/>
    </row>
    <row r="470" ht="16.5" customHeight="1">
      <c r="B470" s="2"/>
      <c r="C470" s="2"/>
    </row>
    <row r="471" ht="16.5" customHeight="1">
      <c r="B471" s="2"/>
      <c r="C471" s="2"/>
    </row>
    <row r="472" ht="16.5" customHeight="1">
      <c r="B472" s="2"/>
      <c r="C472" s="2"/>
    </row>
    <row r="473" ht="16.5" customHeight="1">
      <c r="B473" s="2"/>
      <c r="C473" s="2"/>
    </row>
    <row r="474" ht="16.5" customHeight="1">
      <c r="B474" s="2"/>
      <c r="C474" s="2"/>
    </row>
    <row r="475" ht="16.5" customHeight="1">
      <c r="B475" s="2"/>
      <c r="C475" s="2"/>
    </row>
    <row r="476" ht="16.5" customHeight="1">
      <c r="B476" s="2"/>
      <c r="C476" s="2"/>
    </row>
    <row r="477" ht="16.5" customHeight="1">
      <c r="B477" s="2"/>
      <c r="C477" s="2"/>
    </row>
    <row r="478" ht="16.5" customHeight="1">
      <c r="B478" s="2"/>
      <c r="C478" s="2"/>
    </row>
    <row r="479" ht="16.5" customHeight="1">
      <c r="B479" s="2"/>
      <c r="C479" s="2"/>
    </row>
    <row r="480" ht="16.5" customHeight="1">
      <c r="B480" s="2"/>
      <c r="C480" s="2"/>
    </row>
    <row r="481" ht="16.5" customHeight="1">
      <c r="B481" s="2"/>
      <c r="C481" s="2"/>
    </row>
    <row r="482" ht="16.5" customHeight="1">
      <c r="B482" s="2"/>
      <c r="C482" s="2"/>
    </row>
    <row r="483" ht="16.5" customHeight="1">
      <c r="B483" s="2"/>
      <c r="C483" s="2"/>
    </row>
    <row r="484" ht="16.5" customHeight="1">
      <c r="B484" s="2"/>
      <c r="C484" s="2"/>
    </row>
    <row r="485" ht="16.5" customHeight="1">
      <c r="B485" s="2"/>
      <c r="C485" s="2"/>
    </row>
    <row r="486" ht="16.5" customHeight="1">
      <c r="B486" s="2"/>
      <c r="C486" s="2"/>
    </row>
    <row r="487" ht="16.5" customHeight="1">
      <c r="B487" s="2"/>
      <c r="C487" s="2"/>
    </row>
    <row r="488" ht="16.5" customHeight="1">
      <c r="B488" s="2"/>
      <c r="C488" s="2"/>
    </row>
    <row r="489" ht="16.5" customHeight="1">
      <c r="B489" s="2"/>
      <c r="C489" s="2"/>
    </row>
    <row r="490" ht="16.5" customHeight="1">
      <c r="B490" s="2"/>
      <c r="C490" s="2"/>
    </row>
    <row r="491" ht="16.5" customHeight="1">
      <c r="B491" s="2"/>
      <c r="C491" s="2"/>
    </row>
    <row r="492" ht="16.5" customHeight="1">
      <c r="B492" s="2"/>
      <c r="C492" s="2"/>
    </row>
    <row r="493" ht="16.5" customHeight="1">
      <c r="B493" s="2"/>
      <c r="C493" s="2"/>
    </row>
    <row r="494" ht="16.5" customHeight="1">
      <c r="B494" s="2"/>
      <c r="C494" s="2"/>
    </row>
    <row r="495" ht="16.5" customHeight="1">
      <c r="B495" s="2"/>
      <c r="C495" s="2"/>
    </row>
    <row r="496" ht="16.5" customHeight="1">
      <c r="B496" s="2"/>
      <c r="C496" s="2"/>
    </row>
    <row r="497" ht="16.5" customHeight="1">
      <c r="B497" s="2"/>
      <c r="C497" s="2"/>
    </row>
    <row r="498" ht="16.5" customHeight="1">
      <c r="B498" s="2"/>
      <c r="C498" s="2"/>
    </row>
    <row r="499" ht="16.5" customHeight="1">
      <c r="B499" s="2"/>
      <c r="C499" s="2"/>
    </row>
    <row r="500" ht="16.5" customHeight="1">
      <c r="B500" s="2"/>
      <c r="C500" s="2"/>
    </row>
    <row r="501" ht="16.5" customHeight="1">
      <c r="B501" s="2"/>
      <c r="C501" s="2"/>
    </row>
    <row r="502" ht="16.5" customHeight="1">
      <c r="B502" s="2"/>
      <c r="C502" s="2"/>
    </row>
    <row r="503" ht="16.5" customHeight="1">
      <c r="B503" s="2"/>
      <c r="C503" s="2"/>
    </row>
    <row r="504" ht="16.5" customHeight="1">
      <c r="B504" s="2"/>
      <c r="C504" s="2"/>
    </row>
    <row r="505" ht="16.5" customHeight="1">
      <c r="B505" s="2"/>
      <c r="C505" s="2"/>
    </row>
    <row r="506" ht="16.5" customHeight="1">
      <c r="B506" s="2"/>
      <c r="C506" s="2"/>
    </row>
    <row r="507" ht="16.5" customHeight="1">
      <c r="B507" s="2"/>
      <c r="C507" s="2"/>
    </row>
    <row r="508" ht="16.5" customHeight="1">
      <c r="B508" s="2"/>
      <c r="C508" s="2"/>
    </row>
    <row r="509" ht="16.5" customHeight="1">
      <c r="B509" s="2"/>
      <c r="C509" s="2"/>
    </row>
    <row r="510" ht="16.5" customHeight="1">
      <c r="B510" s="2"/>
      <c r="C510" s="2"/>
    </row>
    <row r="511" ht="16.5" customHeight="1">
      <c r="B511" s="2"/>
      <c r="C511" s="2"/>
    </row>
    <row r="512" ht="16.5" customHeight="1">
      <c r="B512" s="2"/>
      <c r="C512" s="2"/>
    </row>
    <row r="513" ht="16.5" customHeight="1">
      <c r="B513" s="2"/>
      <c r="C513" s="2"/>
    </row>
    <row r="514" ht="16.5" customHeight="1">
      <c r="B514" s="2"/>
      <c r="C514" s="2"/>
    </row>
    <row r="515" ht="16.5" customHeight="1">
      <c r="B515" s="2"/>
      <c r="C515" s="2"/>
    </row>
    <row r="516" ht="16.5" customHeight="1">
      <c r="B516" s="2"/>
      <c r="C516" s="2"/>
    </row>
    <row r="517" ht="16.5" customHeight="1">
      <c r="B517" s="2"/>
      <c r="C517" s="2"/>
    </row>
    <row r="518" ht="16.5" customHeight="1">
      <c r="B518" s="2"/>
      <c r="C518" s="2"/>
    </row>
    <row r="519" ht="16.5" customHeight="1">
      <c r="B519" s="2"/>
      <c r="C519" s="2"/>
    </row>
    <row r="520" ht="16.5" customHeight="1">
      <c r="B520" s="2"/>
      <c r="C520" s="2"/>
    </row>
    <row r="521" ht="16.5" customHeight="1">
      <c r="B521" s="2"/>
      <c r="C521" s="2"/>
    </row>
    <row r="522" ht="16.5" customHeight="1">
      <c r="B522" s="2"/>
      <c r="C522" s="2"/>
    </row>
    <row r="523" ht="16.5" customHeight="1">
      <c r="B523" s="2"/>
      <c r="C523" s="2"/>
    </row>
    <row r="524" ht="16.5" customHeight="1">
      <c r="B524" s="2"/>
      <c r="C524" s="2"/>
    </row>
    <row r="525" ht="16.5" customHeight="1">
      <c r="B525" s="2"/>
      <c r="C525" s="2"/>
    </row>
    <row r="526" ht="16.5" customHeight="1">
      <c r="B526" s="2"/>
      <c r="C526" s="2"/>
    </row>
    <row r="527" ht="16.5" customHeight="1">
      <c r="B527" s="2"/>
      <c r="C527" s="2"/>
    </row>
    <row r="528" ht="16.5" customHeight="1">
      <c r="B528" s="2"/>
      <c r="C528" s="2"/>
    </row>
    <row r="529" ht="16.5" customHeight="1">
      <c r="B529" s="2"/>
      <c r="C529" s="2"/>
    </row>
    <row r="530" ht="16.5" customHeight="1">
      <c r="B530" s="2"/>
      <c r="C530" s="2"/>
    </row>
    <row r="531" ht="16.5" customHeight="1">
      <c r="B531" s="2"/>
      <c r="C531" s="2"/>
    </row>
    <row r="532" ht="16.5" customHeight="1">
      <c r="B532" s="2"/>
      <c r="C532" s="2"/>
    </row>
    <row r="533" ht="16.5" customHeight="1">
      <c r="B533" s="2"/>
      <c r="C533" s="2"/>
    </row>
    <row r="534" ht="16.5" customHeight="1">
      <c r="B534" s="2"/>
      <c r="C534" s="2"/>
    </row>
    <row r="535" ht="16.5" customHeight="1">
      <c r="B535" s="2"/>
      <c r="C535" s="2"/>
    </row>
    <row r="536" ht="16.5" customHeight="1">
      <c r="B536" s="2"/>
      <c r="C536" s="2"/>
    </row>
    <row r="537" ht="16.5" customHeight="1">
      <c r="B537" s="2"/>
      <c r="C537" s="2"/>
    </row>
    <row r="538" ht="16.5" customHeight="1">
      <c r="B538" s="2"/>
      <c r="C538" s="2"/>
    </row>
    <row r="539" ht="16.5" customHeight="1">
      <c r="B539" s="2"/>
      <c r="C539" s="2"/>
    </row>
    <row r="540" ht="16.5" customHeight="1">
      <c r="B540" s="2"/>
      <c r="C540" s="2"/>
    </row>
    <row r="541" ht="16.5" customHeight="1">
      <c r="B541" s="2"/>
      <c r="C541" s="2"/>
    </row>
    <row r="542" ht="16.5" customHeight="1">
      <c r="B542" s="2"/>
      <c r="C542" s="2"/>
    </row>
    <row r="543" ht="16.5" customHeight="1">
      <c r="B543" s="2"/>
      <c r="C543" s="2"/>
    </row>
    <row r="544" ht="16.5" customHeight="1">
      <c r="B544" s="2"/>
      <c r="C544" s="2"/>
    </row>
    <row r="545" ht="16.5" customHeight="1">
      <c r="B545" s="2"/>
      <c r="C545" s="2"/>
    </row>
    <row r="546" ht="16.5" customHeight="1">
      <c r="B546" s="2"/>
      <c r="C546" s="2"/>
    </row>
    <row r="547" ht="16.5" customHeight="1">
      <c r="B547" s="2"/>
      <c r="C547" s="2"/>
    </row>
    <row r="548" ht="16.5" customHeight="1">
      <c r="B548" s="2"/>
      <c r="C548" s="2"/>
    </row>
    <row r="549" ht="16.5" customHeight="1">
      <c r="B549" s="2"/>
      <c r="C549" s="2"/>
    </row>
    <row r="550" ht="16.5" customHeight="1">
      <c r="B550" s="2"/>
      <c r="C550" s="2"/>
    </row>
    <row r="551" ht="16.5" customHeight="1">
      <c r="B551" s="2"/>
      <c r="C551" s="2"/>
    </row>
    <row r="552" ht="16.5" customHeight="1">
      <c r="B552" s="2"/>
      <c r="C552" s="2"/>
    </row>
    <row r="553" ht="16.5" customHeight="1">
      <c r="B553" s="2"/>
      <c r="C553" s="2"/>
    </row>
    <row r="554" ht="16.5" customHeight="1">
      <c r="B554" s="2"/>
      <c r="C554" s="2"/>
    </row>
    <row r="555" ht="16.5" customHeight="1">
      <c r="B555" s="2"/>
      <c r="C555" s="2"/>
    </row>
    <row r="556" ht="16.5" customHeight="1">
      <c r="B556" s="2"/>
      <c r="C556" s="2"/>
    </row>
    <row r="557" ht="16.5" customHeight="1">
      <c r="B557" s="2"/>
      <c r="C557" s="2"/>
    </row>
    <row r="558" ht="16.5" customHeight="1">
      <c r="B558" s="2"/>
      <c r="C558" s="2"/>
    </row>
    <row r="559" ht="16.5" customHeight="1">
      <c r="B559" s="2"/>
      <c r="C559" s="2"/>
    </row>
    <row r="560" ht="16.5" customHeight="1">
      <c r="B560" s="2"/>
      <c r="C560" s="2"/>
    </row>
    <row r="561" ht="16.5" customHeight="1">
      <c r="B561" s="2"/>
      <c r="C561" s="2"/>
    </row>
    <row r="562" ht="16.5" customHeight="1">
      <c r="B562" s="2"/>
      <c r="C562" s="2"/>
    </row>
    <row r="563" ht="16.5" customHeight="1">
      <c r="B563" s="2"/>
      <c r="C563" s="2"/>
    </row>
    <row r="564" ht="16.5" customHeight="1">
      <c r="B564" s="2"/>
      <c r="C564" s="2"/>
    </row>
    <row r="565" ht="16.5" customHeight="1">
      <c r="B565" s="2"/>
      <c r="C565" s="2"/>
    </row>
    <row r="566" ht="16.5" customHeight="1">
      <c r="B566" s="2"/>
      <c r="C566" s="2"/>
    </row>
    <row r="567" ht="16.5" customHeight="1">
      <c r="B567" s="2"/>
      <c r="C567" s="2"/>
    </row>
    <row r="568" ht="16.5" customHeight="1">
      <c r="B568" s="2"/>
      <c r="C568" s="2"/>
    </row>
    <row r="569" ht="16.5" customHeight="1">
      <c r="B569" s="2"/>
      <c r="C569" s="2"/>
    </row>
    <row r="570" ht="16.5" customHeight="1">
      <c r="B570" s="2"/>
      <c r="C570" s="2"/>
    </row>
    <row r="571" ht="16.5" customHeight="1">
      <c r="B571" s="2"/>
      <c r="C571" s="2"/>
    </row>
    <row r="572" ht="16.5" customHeight="1">
      <c r="B572" s="2"/>
      <c r="C572" s="2"/>
    </row>
    <row r="573" ht="16.5" customHeight="1">
      <c r="B573" s="2"/>
      <c r="C573" s="2"/>
    </row>
    <row r="574" ht="16.5" customHeight="1">
      <c r="B574" s="2"/>
      <c r="C574" s="2"/>
    </row>
    <row r="575" ht="16.5" customHeight="1">
      <c r="B575" s="2"/>
      <c r="C575" s="2"/>
    </row>
    <row r="576" ht="16.5" customHeight="1">
      <c r="B576" s="2"/>
      <c r="C576" s="2"/>
    </row>
    <row r="577" ht="16.5" customHeight="1">
      <c r="B577" s="2"/>
      <c r="C577" s="2"/>
    </row>
    <row r="578" ht="16.5" customHeight="1">
      <c r="B578" s="2"/>
      <c r="C578" s="2"/>
    </row>
    <row r="579" ht="16.5" customHeight="1">
      <c r="B579" s="2"/>
      <c r="C579" s="2"/>
    </row>
    <row r="580" ht="16.5" customHeight="1">
      <c r="B580" s="2"/>
      <c r="C580" s="2"/>
    </row>
    <row r="581" ht="16.5" customHeight="1">
      <c r="B581" s="2"/>
      <c r="C581" s="2"/>
    </row>
    <row r="582" ht="16.5" customHeight="1">
      <c r="B582" s="2"/>
      <c r="C582" s="2"/>
    </row>
    <row r="583" ht="16.5" customHeight="1">
      <c r="B583" s="2"/>
      <c r="C583" s="2"/>
    </row>
    <row r="584" ht="16.5" customHeight="1">
      <c r="B584" s="2"/>
      <c r="C584" s="2"/>
    </row>
    <row r="585" ht="16.5" customHeight="1">
      <c r="B585" s="2"/>
      <c r="C585" s="2"/>
    </row>
    <row r="586" ht="16.5" customHeight="1">
      <c r="B586" s="2"/>
      <c r="C586" s="2"/>
    </row>
    <row r="587" ht="16.5" customHeight="1">
      <c r="B587" s="2"/>
      <c r="C587" s="2"/>
    </row>
    <row r="588" ht="16.5" customHeight="1">
      <c r="B588" s="2"/>
      <c r="C588" s="2"/>
    </row>
    <row r="589" ht="16.5" customHeight="1">
      <c r="B589" s="2"/>
      <c r="C589" s="2"/>
    </row>
    <row r="590" ht="16.5" customHeight="1">
      <c r="B590" s="2"/>
      <c r="C590" s="2"/>
    </row>
    <row r="591" ht="16.5" customHeight="1">
      <c r="B591" s="2"/>
      <c r="C591" s="2"/>
    </row>
    <row r="592" ht="16.5" customHeight="1">
      <c r="B592" s="2"/>
      <c r="C592" s="2"/>
    </row>
    <row r="593" ht="16.5" customHeight="1">
      <c r="B593" s="2"/>
      <c r="C593" s="2"/>
    </row>
    <row r="594" ht="16.5" customHeight="1">
      <c r="B594" s="2"/>
      <c r="C594" s="2"/>
    </row>
    <row r="595" ht="16.5" customHeight="1">
      <c r="B595" s="2"/>
      <c r="C595" s="2"/>
    </row>
    <row r="596" ht="16.5" customHeight="1">
      <c r="B596" s="2"/>
      <c r="C596" s="2"/>
    </row>
    <row r="597" ht="16.5" customHeight="1">
      <c r="B597" s="2"/>
      <c r="C597" s="2"/>
    </row>
    <row r="598" ht="16.5" customHeight="1">
      <c r="B598" s="2"/>
      <c r="C598" s="2"/>
    </row>
    <row r="599" ht="16.5" customHeight="1">
      <c r="B599" s="2"/>
      <c r="C599" s="2"/>
    </row>
    <row r="600" ht="16.5" customHeight="1">
      <c r="B600" s="2"/>
      <c r="C600" s="2"/>
    </row>
    <row r="601" ht="16.5" customHeight="1">
      <c r="B601" s="2"/>
      <c r="C601" s="2"/>
    </row>
    <row r="602" ht="16.5" customHeight="1">
      <c r="B602" s="2"/>
      <c r="C602" s="2"/>
    </row>
    <row r="603" ht="16.5" customHeight="1">
      <c r="B603" s="2"/>
      <c r="C603" s="2"/>
    </row>
    <row r="604" ht="16.5" customHeight="1">
      <c r="B604" s="2"/>
      <c r="C604" s="2"/>
    </row>
    <row r="605" ht="16.5" customHeight="1">
      <c r="B605" s="2"/>
      <c r="C605" s="2"/>
    </row>
    <row r="606" ht="16.5" customHeight="1">
      <c r="B606" s="2"/>
      <c r="C606" s="2"/>
    </row>
    <row r="607" ht="16.5" customHeight="1">
      <c r="B607" s="2"/>
      <c r="C607" s="2"/>
    </row>
    <row r="608" ht="16.5" customHeight="1">
      <c r="B608" s="2"/>
      <c r="C608" s="2"/>
    </row>
    <row r="609" ht="16.5" customHeight="1">
      <c r="B609" s="2"/>
      <c r="C609" s="2"/>
    </row>
    <row r="610" ht="16.5" customHeight="1">
      <c r="B610" s="2"/>
      <c r="C610" s="2"/>
    </row>
    <row r="611" ht="16.5" customHeight="1">
      <c r="B611" s="2"/>
      <c r="C611" s="2"/>
    </row>
    <row r="612" ht="16.5" customHeight="1">
      <c r="B612" s="2"/>
      <c r="C612" s="2"/>
    </row>
    <row r="613" ht="16.5" customHeight="1">
      <c r="B613" s="2"/>
      <c r="C613" s="2"/>
    </row>
    <row r="614" ht="16.5" customHeight="1">
      <c r="B614" s="2"/>
      <c r="C614" s="2"/>
    </row>
    <row r="615" ht="16.5" customHeight="1">
      <c r="B615" s="2"/>
      <c r="C615" s="2"/>
    </row>
    <row r="616" ht="16.5" customHeight="1">
      <c r="B616" s="2"/>
      <c r="C616" s="2"/>
    </row>
    <row r="617" ht="16.5" customHeight="1">
      <c r="B617" s="2"/>
      <c r="C617" s="2"/>
    </row>
    <row r="618" ht="16.5" customHeight="1">
      <c r="B618" s="2"/>
      <c r="C618" s="2"/>
    </row>
    <row r="619" ht="16.5" customHeight="1">
      <c r="B619" s="2"/>
      <c r="C619" s="2"/>
    </row>
    <row r="620" ht="16.5" customHeight="1">
      <c r="B620" s="2"/>
      <c r="C620" s="2"/>
    </row>
    <row r="621" ht="16.5" customHeight="1">
      <c r="B621" s="2"/>
      <c r="C621" s="2"/>
    </row>
    <row r="622" ht="16.5" customHeight="1">
      <c r="B622" s="2"/>
      <c r="C622" s="2"/>
    </row>
    <row r="623" ht="16.5" customHeight="1">
      <c r="B623" s="2"/>
      <c r="C623" s="2"/>
    </row>
    <row r="624" ht="16.5" customHeight="1">
      <c r="B624" s="2"/>
      <c r="C624" s="2"/>
    </row>
    <row r="625" ht="16.5" customHeight="1">
      <c r="B625" s="2"/>
      <c r="C625" s="2"/>
    </row>
    <row r="626" ht="16.5" customHeight="1">
      <c r="B626" s="2"/>
      <c r="C626" s="2"/>
    </row>
    <row r="627" ht="16.5" customHeight="1">
      <c r="B627" s="2"/>
      <c r="C627" s="2"/>
    </row>
    <row r="628" ht="16.5" customHeight="1">
      <c r="B628" s="2"/>
      <c r="C628" s="2"/>
    </row>
    <row r="629" ht="16.5" customHeight="1">
      <c r="B629" s="2"/>
      <c r="C629" s="2"/>
    </row>
    <row r="630" ht="16.5" customHeight="1">
      <c r="B630" s="2"/>
      <c r="C630" s="2"/>
    </row>
    <row r="631" ht="16.5" customHeight="1">
      <c r="B631" s="2"/>
      <c r="C631" s="2"/>
    </row>
    <row r="632" ht="16.5" customHeight="1">
      <c r="B632" s="2"/>
      <c r="C632" s="2"/>
    </row>
    <row r="633" ht="16.5" customHeight="1">
      <c r="B633" s="2"/>
      <c r="C633" s="2"/>
    </row>
    <row r="634" ht="16.5" customHeight="1">
      <c r="B634" s="2"/>
      <c r="C634" s="2"/>
    </row>
    <row r="635" ht="16.5" customHeight="1">
      <c r="B635" s="2"/>
      <c r="C635" s="2"/>
    </row>
    <row r="636" ht="16.5" customHeight="1">
      <c r="B636" s="2"/>
      <c r="C636" s="2"/>
    </row>
    <row r="637" ht="16.5" customHeight="1">
      <c r="B637" s="2"/>
      <c r="C637" s="2"/>
    </row>
    <row r="638" ht="16.5" customHeight="1">
      <c r="B638" s="2"/>
      <c r="C638" s="2"/>
    </row>
    <row r="639" ht="16.5" customHeight="1">
      <c r="B639" s="2"/>
      <c r="C639" s="2"/>
    </row>
    <row r="640" ht="16.5" customHeight="1">
      <c r="B640" s="2"/>
      <c r="C640" s="2"/>
    </row>
    <row r="641" ht="16.5" customHeight="1">
      <c r="B641" s="2"/>
      <c r="C641" s="2"/>
    </row>
    <row r="642" ht="16.5" customHeight="1">
      <c r="B642" s="2"/>
      <c r="C642" s="2"/>
    </row>
    <row r="643" ht="16.5" customHeight="1">
      <c r="B643" s="2"/>
      <c r="C643" s="2"/>
    </row>
    <row r="644" ht="16.5" customHeight="1">
      <c r="B644" s="2"/>
      <c r="C644" s="2"/>
    </row>
    <row r="645" ht="16.5" customHeight="1">
      <c r="B645" s="2"/>
      <c r="C645" s="2"/>
    </row>
    <row r="646" ht="16.5" customHeight="1">
      <c r="B646" s="2"/>
      <c r="C646" s="2"/>
    </row>
    <row r="647" ht="16.5" customHeight="1">
      <c r="B647" s="2"/>
      <c r="C647" s="2"/>
    </row>
    <row r="648" ht="16.5" customHeight="1">
      <c r="B648" s="2"/>
      <c r="C648" s="2"/>
    </row>
    <row r="649" ht="16.5" customHeight="1">
      <c r="B649" s="2"/>
      <c r="C649" s="2"/>
    </row>
    <row r="650" ht="16.5" customHeight="1">
      <c r="B650" s="2"/>
      <c r="C650" s="2"/>
    </row>
    <row r="651" ht="16.5" customHeight="1">
      <c r="B651" s="2"/>
      <c r="C651" s="2"/>
    </row>
    <row r="652" ht="16.5" customHeight="1">
      <c r="B652" s="2"/>
      <c r="C652" s="2"/>
    </row>
    <row r="653" ht="16.5" customHeight="1">
      <c r="B653" s="2"/>
      <c r="C653" s="2"/>
    </row>
    <row r="654" ht="16.5" customHeight="1">
      <c r="B654" s="2"/>
      <c r="C654" s="2"/>
    </row>
    <row r="655" ht="16.5" customHeight="1">
      <c r="B655" s="2"/>
      <c r="C655" s="2"/>
    </row>
    <row r="656" ht="16.5" customHeight="1">
      <c r="B656" s="2"/>
      <c r="C656" s="2"/>
    </row>
    <row r="657" ht="16.5" customHeight="1">
      <c r="B657" s="2"/>
      <c r="C657" s="2"/>
    </row>
    <row r="658" ht="16.5" customHeight="1">
      <c r="B658" s="2"/>
      <c r="C658" s="2"/>
    </row>
    <row r="659" ht="16.5" customHeight="1">
      <c r="B659" s="2"/>
      <c r="C659" s="2"/>
    </row>
    <row r="660" ht="16.5" customHeight="1">
      <c r="B660" s="2"/>
      <c r="C660" s="2"/>
    </row>
    <row r="661" ht="16.5" customHeight="1">
      <c r="B661" s="2"/>
      <c r="C661" s="2"/>
    </row>
    <row r="662" ht="16.5" customHeight="1">
      <c r="B662" s="2"/>
      <c r="C662" s="2"/>
    </row>
    <row r="663" ht="16.5" customHeight="1">
      <c r="B663" s="2"/>
      <c r="C663" s="2"/>
    </row>
    <row r="664" ht="16.5" customHeight="1">
      <c r="B664" s="2"/>
      <c r="C664" s="2"/>
    </row>
    <row r="665" ht="16.5" customHeight="1">
      <c r="B665" s="2"/>
      <c r="C665" s="2"/>
    </row>
    <row r="666" ht="16.5" customHeight="1">
      <c r="B666" s="2"/>
      <c r="C666" s="2"/>
    </row>
    <row r="667" ht="16.5" customHeight="1">
      <c r="B667" s="2"/>
      <c r="C667" s="2"/>
    </row>
    <row r="668" ht="16.5" customHeight="1">
      <c r="B668" s="2"/>
      <c r="C668" s="2"/>
    </row>
    <row r="669" ht="16.5" customHeight="1">
      <c r="B669" s="2"/>
      <c r="C669" s="2"/>
    </row>
    <row r="670" ht="16.5" customHeight="1">
      <c r="B670" s="2"/>
      <c r="C670" s="2"/>
    </row>
    <row r="671" ht="16.5" customHeight="1">
      <c r="B671" s="2"/>
      <c r="C671" s="2"/>
    </row>
    <row r="672" ht="16.5" customHeight="1">
      <c r="B672" s="2"/>
      <c r="C672" s="2"/>
    </row>
    <row r="673" ht="16.5" customHeight="1">
      <c r="B673" s="2"/>
      <c r="C673" s="2"/>
    </row>
    <row r="674" ht="16.5" customHeight="1">
      <c r="B674" s="2"/>
      <c r="C674" s="2"/>
    </row>
    <row r="675" ht="16.5" customHeight="1">
      <c r="B675" s="2"/>
      <c r="C675" s="2"/>
    </row>
    <row r="676" ht="16.5" customHeight="1">
      <c r="B676" s="2"/>
      <c r="C676" s="2"/>
    </row>
    <row r="677" ht="16.5" customHeight="1">
      <c r="B677" s="2"/>
      <c r="C677" s="2"/>
    </row>
    <row r="678" ht="16.5" customHeight="1">
      <c r="B678" s="2"/>
      <c r="C678" s="2"/>
    </row>
    <row r="679" ht="16.5" customHeight="1">
      <c r="B679" s="2"/>
      <c r="C679" s="2"/>
    </row>
    <row r="680" ht="16.5" customHeight="1">
      <c r="B680" s="2"/>
      <c r="C680" s="2"/>
    </row>
    <row r="681" ht="16.5" customHeight="1">
      <c r="B681" s="2"/>
      <c r="C681" s="2"/>
    </row>
    <row r="682" ht="16.5" customHeight="1">
      <c r="B682" s="2"/>
      <c r="C682" s="2"/>
    </row>
    <row r="683" ht="16.5" customHeight="1">
      <c r="B683" s="2"/>
      <c r="C683" s="2"/>
    </row>
    <row r="684" ht="16.5" customHeight="1">
      <c r="B684" s="2"/>
      <c r="C684" s="2"/>
    </row>
    <row r="685" ht="16.5" customHeight="1">
      <c r="B685" s="2"/>
      <c r="C685" s="2"/>
    </row>
    <row r="686" ht="16.5" customHeight="1">
      <c r="B686" s="2"/>
      <c r="C686" s="2"/>
    </row>
    <row r="687" ht="16.5" customHeight="1">
      <c r="B687" s="2"/>
      <c r="C687" s="2"/>
    </row>
    <row r="688" ht="16.5" customHeight="1">
      <c r="B688" s="2"/>
      <c r="C688" s="2"/>
    </row>
    <row r="689" ht="16.5" customHeight="1">
      <c r="B689" s="2"/>
      <c r="C689" s="2"/>
    </row>
    <row r="690" ht="16.5" customHeight="1">
      <c r="B690" s="2"/>
      <c r="C690" s="2"/>
    </row>
    <row r="691" ht="16.5" customHeight="1">
      <c r="B691" s="2"/>
      <c r="C691" s="2"/>
    </row>
    <row r="692" ht="16.5" customHeight="1">
      <c r="B692" s="2"/>
      <c r="C692" s="2"/>
    </row>
    <row r="693" ht="16.5" customHeight="1">
      <c r="B693" s="2"/>
      <c r="C693" s="2"/>
    </row>
    <row r="694" ht="16.5" customHeight="1">
      <c r="B694" s="2"/>
      <c r="C694" s="2"/>
    </row>
    <row r="695" ht="16.5" customHeight="1">
      <c r="B695" s="2"/>
      <c r="C695" s="2"/>
    </row>
    <row r="696" ht="16.5" customHeight="1">
      <c r="B696" s="2"/>
      <c r="C696" s="2"/>
    </row>
    <row r="697" ht="16.5" customHeight="1">
      <c r="B697" s="2"/>
      <c r="C697" s="2"/>
    </row>
    <row r="698" ht="16.5" customHeight="1">
      <c r="B698" s="2"/>
      <c r="C698" s="2"/>
    </row>
    <row r="699" ht="16.5" customHeight="1">
      <c r="B699" s="2"/>
      <c r="C699" s="2"/>
    </row>
    <row r="700" ht="16.5" customHeight="1">
      <c r="B700" s="2"/>
      <c r="C700" s="2"/>
    </row>
    <row r="701" ht="16.5" customHeight="1">
      <c r="B701" s="2"/>
      <c r="C701" s="2"/>
    </row>
    <row r="702" ht="16.5" customHeight="1">
      <c r="B702" s="2"/>
      <c r="C702" s="2"/>
    </row>
    <row r="703" ht="16.5" customHeight="1">
      <c r="B703" s="2"/>
      <c r="C703" s="2"/>
    </row>
    <row r="704" ht="16.5" customHeight="1">
      <c r="B704" s="2"/>
      <c r="C704" s="2"/>
    </row>
    <row r="705" ht="16.5" customHeight="1">
      <c r="B705" s="2"/>
      <c r="C705" s="2"/>
    </row>
    <row r="706" ht="16.5" customHeight="1">
      <c r="B706" s="2"/>
      <c r="C706" s="2"/>
    </row>
    <row r="707" ht="16.5" customHeight="1">
      <c r="B707" s="2"/>
      <c r="C707" s="2"/>
    </row>
    <row r="708" ht="16.5" customHeight="1">
      <c r="B708" s="2"/>
      <c r="C708" s="2"/>
    </row>
    <row r="709" ht="16.5" customHeight="1">
      <c r="B709" s="2"/>
      <c r="C709" s="2"/>
    </row>
    <row r="710" ht="16.5" customHeight="1">
      <c r="B710" s="2"/>
      <c r="C710" s="2"/>
    </row>
    <row r="711" ht="16.5" customHeight="1">
      <c r="B711" s="2"/>
      <c r="C711" s="2"/>
    </row>
    <row r="712" ht="16.5" customHeight="1">
      <c r="B712" s="2"/>
      <c r="C712" s="2"/>
    </row>
    <row r="713" ht="16.5" customHeight="1">
      <c r="B713" s="2"/>
      <c r="C713" s="2"/>
    </row>
    <row r="714" ht="16.5" customHeight="1">
      <c r="B714" s="2"/>
      <c r="C714" s="2"/>
    </row>
    <row r="715" ht="16.5" customHeight="1">
      <c r="B715" s="2"/>
      <c r="C715" s="2"/>
    </row>
    <row r="716" ht="16.5" customHeight="1">
      <c r="B716" s="2"/>
      <c r="C716" s="2"/>
    </row>
    <row r="717" ht="16.5" customHeight="1">
      <c r="B717" s="2"/>
      <c r="C717" s="2"/>
    </row>
    <row r="718" ht="16.5" customHeight="1">
      <c r="B718" s="2"/>
      <c r="C718" s="2"/>
    </row>
    <row r="719" ht="16.5" customHeight="1">
      <c r="B719" s="2"/>
      <c r="C719" s="2"/>
    </row>
    <row r="720" ht="16.5" customHeight="1">
      <c r="B720" s="2"/>
      <c r="C720" s="2"/>
    </row>
    <row r="721" ht="16.5" customHeight="1">
      <c r="B721" s="2"/>
      <c r="C721" s="2"/>
    </row>
    <row r="722" ht="16.5" customHeight="1">
      <c r="B722" s="2"/>
      <c r="C722" s="2"/>
    </row>
    <row r="723" ht="16.5" customHeight="1">
      <c r="B723" s="2"/>
      <c r="C723" s="2"/>
    </row>
    <row r="724" ht="16.5" customHeight="1">
      <c r="B724" s="2"/>
      <c r="C724" s="2"/>
    </row>
    <row r="725" ht="16.5" customHeight="1">
      <c r="B725" s="2"/>
      <c r="C725" s="2"/>
    </row>
    <row r="726" ht="16.5" customHeight="1">
      <c r="B726" s="2"/>
      <c r="C726" s="2"/>
    </row>
    <row r="727" ht="16.5" customHeight="1">
      <c r="B727" s="2"/>
      <c r="C727" s="2"/>
    </row>
    <row r="728" ht="16.5" customHeight="1">
      <c r="B728" s="2"/>
      <c r="C728" s="2"/>
    </row>
    <row r="729" ht="16.5" customHeight="1">
      <c r="B729" s="2"/>
      <c r="C729" s="2"/>
    </row>
    <row r="730" ht="16.5" customHeight="1">
      <c r="B730" s="2"/>
      <c r="C730" s="2"/>
    </row>
    <row r="731" ht="16.5" customHeight="1">
      <c r="B731" s="2"/>
      <c r="C731" s="2"/>
    </row>
    <row r="732" ht="16.5" customHeight="1">
      <c r="B732" s="2"/>
      <c r="C732" s="2"/>
    </row>
    <row r="733" ht="16.5" customHeight="1">
      <c r="B733" s="2"/>
      <c r="C733" s="2"/>
    </row>
    <row r="734" ht="16.5" customHeight="1">
      <c r="B734" s="2"/>
      <c r="C734" s="2"/>
    </row>
    <row r="735" ht="16.5" customHeight="1">
      <c r="B735" s="2"/>
      <c r="C735" s="2"/>
    </row>
    <row r="736" ht="16.5" customHeight="1">
      <c r="B736" s="2"/>
      <c r="C736" s="2"/>
    </row>
    <row r="737" ht="16.5" customHeight="1">
      <c r="B737" s="2"/>
      <c r="C737" s="2"/>
    </row>
    <row r="738" ht="16.5" customHeight="1">
      <c r="B738" s="2"/>
      <c r="C738" s="2"/>
    </row>
    <row r="739" ht="16.5" customHeight="1">
      <c r="B739" s="2"/>
      <c r="C739" s="2"/>
    </row>
    <row r="740" ht="16.5" customHeight="1">
      <c r="B740" s="2"/>
      <c r="C740" s="2"/>
    </row>
    <row r="741" ht="16.5" customHeight="1">
      <c r="B741" s="2"/>
      <c r="C741" s="2"/>
    </row>
    <row r="742" ht="16.5" customHeight="1">
      <c r="B742" s="2"/>
      <c r="C742" s="2"/>
    </row>
    <row r="743" ht="16.5" customHeight="1">
      <c r="B743" s="2"/>
      <c r="C743" s="2"/>
    </row>
    <row r="744" ht="16.5" customHeight="1">
      <c r="B744" s="2"/>
      <c r="C744" s="2"/>
    </row>
    <row r="745" ht="16.5" customHeight="1">
      <c r="B745" s="2"/>
      <c r="C745" s="2"/>
    </row>
    <row r="746" ht="16.5" customHeight="1">
      <c r="B746" s="2"/>
      <c r="C746" s="2"/>
    </row>
    <row r="747" ht="16.5" customHeight="1">
      <c r="B747" s="2"/>
      <c r="C747" s="2"/>
    </row>
    <row r="748" ht="16.5" customHeight="1">
      <c r="B748" s="2"/>
      <c r="C748" s="2"/>
    </row>
    <row r="749" ht="16.5" customHeight="1">
      <c r="B749" s="2"/>
      <c r="C749" s="2"/>
    </row>
    <row r="750" ht="16.5" customHeight="1">
      <c r="B750" s="2"/>
      <c r="C750" s="2"/>
    </row>
    <row r="751" ht="16.5" customHeight="1">
      <c r="B751" s="2"/>
      <c r="C751" s="2"/>
    </row>
    <row r="752" ht="16.5" customHeight="1">
      <c r="B752" s="2"/>
      <c r="C752" s="2"/>
    </row>
    <row r="753" ht="16.5" customHeight="1">
      <c r="B753" s="2"/>
      <c r="C753" s="2"/>
    </row>
    <row r="754" ht="16.5" customHeight="1">
      <c r="B754" s="2"/>
      <c r="C754" s="2"/>
    </row>
    <row r="755" ht="16.5" customHeight="1">
      <c r="B755" s="2"/>
      <c r="C755" s="2"/>
    </row>
    <row r="756" ht="16.5" customHeight="1">
      <c r="B756" s="2"/>
      <c r="C756" s="2"/>
    </row>
    <row r="757" ht="16.5" customHeight="1">
      <c r="B757" s="2"/>
      <c r="C757" s="2"/>
    </row>
    <row r="758" ht="16.5" customHeight="1">
      <c r="B758" s="2"/>
      <c r="C758" s="2"/>
    </row>
    <row r="759" ht="16.5" customHeight="1">
      <c r="B759" s="2"/>
      <c r="C759" s="2"/>
    </row>
    <row r="760" ht="16.5" customHeight="1">
      <c r="B760" s="2"/>
      <c r="C760" s="2"/>
    </row>
    <row r="761" ht="16.5" customHeight="1">
      <c r="B761" s="2"/>
      <c r="C761" s="2"/>
    </row>
    <row r="762" ht="16.5" customHeight="1">
      <c r="B762" s="2"/>
      <c r="C762" s="2"/>
    </row>
    <row r="763" ht="16.5" customHeight="1">
      <c r="B763" s="2"/>
      <c r="C763" s="2"/>
    </row>
    <row r="764" ht="16.5" customHeight="1">
      <c r="B764" s="2"/>
      <c r="C764" s="2"/>
    </row>
    <row r="765" ht="16.5" customHeight="1">
      <c r="B765" s="2"/>
      <c r="C765" s="2"/>
    </row>
    <row r="766" ht="16.5" customHeight="1">
      <c r="B766" s="2"/>
      <c r="C766" s="2"/>
    </row>
    <row r="767" ht="16.5" customHeight="1">
      <c r="B767" s="2"/>
      <c r="C767" s="2"/>
    </row>
    <row r="768" ht="16.5" customHeight="1">
      <c r="B768" s="2"/>
      <c r="C768" s="2"/>
    </row>
    <row r="769" ht="16.5" customHeight="1">
      <c r="B769" s="2"/>
      <c r="C769" s="2"/>
    </row>
    <row r="770" ht="16.5" customHeight="1">
      <c r="B770" s="2"/>
      <c r="C770" s="2"/>
    </row>
    <row r="771" ht="16.5" customHeight="1">
      <c r="B771" s="2"/>
      <c r="C771" s="2"/>
    </row>
    <row r="772" ht="16.5" customHeight="1">
      <c r="B772" s="2"/>
      <c r="C772" s="2"/>
    </row>
    <row r="773" ht="16.5" customHeight="1">
      <c r="B773" s="2"/>
      <c r="C773" s="2"/>
    </row>
    <row r="774" ht="16.5" customHeight="1">
      <c r="B774" s="2"/>
      <c r="C774" s="2"/>
    </row>
    <row r="775" ht="16.5" customHeight="1">
      <c r="B775" s="2"/>
      <c r="C775" s="2"/>
    </row>
    <row r="776" ht="16.5" customHeight="1">
      <c r="B776" s="2"/>
      <c r="C776" s="2"/>
    </row>
    <row r="777" ht="16.5" customHeight="1">
      <c r="B777" s="2"/>
      <c r="C777" s="2"/>
    </row>
    <row r="778" ht="16.5" customHeight="1">
      <c r="B778" s="2"/>
      <c r="C778" s="2"/>
    </row>
    <row r="779" ht="16.5" customHeight="1">
      <c r="B779" s="2"/>
      <c r="C779" s="2"/>
    </row>
    <row r="780" ht="16.5" customHeight="1">
      <c r="B780" s="2"/>
      <c r="C780" s="2"/>
    </row>
    <row r="781" ht="16.5" customHeight="1">
      <c r="B781" s="2"/>
      <c r="C781" s="2"/>
    </row>
    <row r="782" ht="16.5" customHeight="1">
      <c r="B782" s="2"/>
      <c r="C782" s="2"/>
    </row>
    <row r="783" ht="16.5" customHeight="1">
      <c r="B783" s="2"/>
      <c r="C783" s="2"/>
    </row>
    <row r="784" ht="16.5" customHeight="1">
      <c r="B784" s="2"/>
      <c r="C784" s="2"/>
    </row>
    <row r="785" ht="16.5" customHeight="1">
      <c r="B785" s="2"/>
      <c r="C785" s="2"/>
    </row>
    <row r="786" ht="16.5" customHeight="1">
      <c r="B786" s="2"/>
      <c r="C786" s="2"/>
    </row>
    <row r="787" ht="16.5" customHeight="1">
      <c r="B787" s="2"/>
      <c r="C787" s="2"/>
    </row>
    <row r="788" ht="16.5" customHeight="1">
      <c r="B788" s="2"/>
      <c r="C788" s="2"/>
    </row>
    <row r="789" ht="16.5" customHeight="1">
      <c r="B789" s="2"/>
      <c r="C789" s="2"/>
    </row>
    <row r="790" ht="16.5" customHeight="1">
      <c r="B790" s="2"/>
      <c r="C790" s="2"/>
    </row>
    <row r="791" ht="16.5" customHeight="1">
      <c r="B791" s="2"/>
      <c r="C791" s="2"/>
    </row>
    <row r="792" ht="16.5" customHeight="1">
      <c r="B792" s="2"/>
      <c r="C792" s="2"/>
    </row>
    <row r="793" ht="16.5" customHeight="1">
      <c r="B793" s="2"/>
      <c r="C793" s="2"/>
    </row>
    <row r="794" ht="16.5" customHeight="1">
      <c r="B794" s="2"/>
      <c r="C794" s="2"/>
    </row>
    <row r="795" ht="16.5" customHeight="1">
      <c r="B795" s="2"/>
      <c r="C795" s="2"/>
    </row>
    <row r="796" ht="16.5" customHeight="1">
      <c r="B796" s="2"/>
      <c r="C796" s="2"/>
    </row>
    <row r="797" ht="16.5" customHeight="1">
      <c r="B797" s="2"/>
      <c r="C797" s="2"/>
    </row>
    <row r="798" ht="16.5" customHeight="1">
      <c r="B798" s="2"/>
      <c r="C798" s="2"/>
    </row>
    <row r="799" ht="16.5" customHeight="1">
      <c r="B799" s="2"/>
      <c r="C799" s="2"/>
    </row>
    <row r="800" ht="16.5" customHeight="1">
      <c r="B800" s="2"/>
      <c r="C800" s="2"/>
    </row>
    <row r="801" ht="16.5" customHeight="1">
      <c r="B801" s="2"/>
      <c r="C801" s="2"/>
    </row>
    <row r="802" ht="16.5" customHeight="1">
      <c r="B802" s="2"/>
      <c r="C802" s="2"/>
    </row>
    <row r="803" ht="16.5" customHeight="1">
      <c r="B803" s="2"/>
      <c r="C803" s="2"/>
    </row>
    <row r="804" ht="16.5" customHeight="1">
      <c r="B804" s="2"/>
      <c r="C804" s="2"/>
    </row>
    <row r="805" ht="16.5" customHeight="1">
      <c r="B805" s="2"/>
      <c r="C805" s="2"/>
    </row>
    <row r="806" ht="16.5" customHeight="1">
      <c r="B806" s="2"/>
      <c r="C806" s="2"/>
    </row>
    <row r="807" ht="16.5" customHeight="1">
      <c r="B807" s="2"/>
      <c r="C807" s="2"/>
    </row>
    <row r="808" ht="16.5" customHeight="1">
      <c r="B808" s="2"/>
      <c r="C808" s="2"/>
    </row>
    <row r="809" ht="16.5" customHeight="1">
      <c r="B809" s="2"/>
      <c r="C809" s="2"/>
    </row>
    <row r="810" ht="16.5" customHeight="1">
      <c r="B810" s="2"/>
      <c r="C810" s="2"/>
    </row>
    <row r="811" ht="16.5" customHeight="1">
      <c r="B811" s="2"/>
      <c r="C811" s="2"/>
    </row>
    <row r="812" ht="16.5" customHeight="1">
      <c r="B812" s="2"/>
      <c r="C812" s="2"/>
    </row>
    <row r="813" ht="16.5" customHeight="1">
      <c r="B813" s="2"/>
      <c r="C813" s="2"/>
    </row>
    <row r="814" ht="16.5" customHeight="1">
      <c r="B814" s="2"/>
      <c r="C814" s="2"/>
    </row>
    <row r="815" ht="16.5" customHeight="1">
      <c r="B815" s="2"/>
      <c r="C815" s="2"/>
    </row>
    <row r="816" ht="16.5" customHeight="1">
      <c r="B816" s="2"/>
      <c r="C816" s="2"/>
    </row>
    <row r="817" ht="16.5" customHeight="1">
      <c r="B817" s="2"/>
      <c r="C817" s="2"/>
    </row>
    <row r="818" ht="16.5" customHeight="1">
      <c r="B818" s="2"/>
      <c r="C818" s="2"/>
    </row>
    <row r="819" ht="16.5" customHeight="1">
      <c r="B819" s="2"/>
      <c r="C819" s="2"/>
    </row>
    <row r="820" ht="16.5" customHeight="1">
      <c r="B820" s="2"/>
      <c r="C820" s="2"/>
    </row>
    <row r="821" ht="16.5" customHeight="1">
      <c r="B821" s="2"/>
      <c r="C821" s="2"/>
    </row>
    <row r="822" ht="16.5" customHeight="1">
      <c r="B822" s="2"/>
      <c r="C822" s="2"/>
    </row>
    <row r="823" ht="16.5" customHeight="1">
      <c r="B823" s="2"/>
      <c r="C823" s="2"/>
    </row>
    <row r="824" ht="16.5" customHeight="1">
      <c r="B824" s="2"/>
      <c r="C824" s="2"/>
    </row>
    <row r="825" ht="16.5" customHeight="1">
      <c r="B825" s="2"/>
      <c r="C825" s="2"/>
    </row>
    <row r="826" ht="16.5" customHeight="1">
      <c r="B826" s="2"/>
      <c r="C826" s="2"/>
    </row>
    <row r="827" ht="16.5" customHeight="1">
      <c r="B827" s="2"/>
      <c r="C827" s="2"/>
    </row>
    <row r="828" ht="16.5" customHeight="1">
      <c r="B828" s="2"/>
      <c r="C828" s="2"/>
    </row>
    <row r="829" ht="16.5" customHeight="1">
      <c r="B829" s="2"/>
      <c r="C829" s="2"/>
    </row>
    <row r="830" ht="16.5" customHeight="1">
      <c r="B830" s="2"/>
      <c r="C830" s="2"/>
    </row>
    <row r="831" ht="16.5" customHeight="1">
      <c r="B831" s="2"/>
      <c r="C831" s="2"/>
    </row>
    <row r="832" ht="16.5" customHeight="1">
      <c r="B832" s="2"/>
      <c r="C832" s="2"/>
    </row>
    <row r="833" ht="16.5" customHeight="1">
      <c r="B833" s="2"/>
      <c r="C833" s="2"/>
    </row>
    <row r="834" ht="16.5" customHeight="1">
      <c r="B834" s="2"/>
      <c r="C834" s="2"/>
    </row>
    <row r="835" ht="16.5" customHeight="1">
      <c r="B835" s="2"/>
      <c r="C835" s="2"/>
    </row>
    <row r="836" ht="16.5" customHeight="1">
      <c r="B836" s="2"/>
      <c r="C836" s="2"/>
    </row>
    <row r="837" ht="16.5" customHeight="1">
      <c r="B837" s="2"/>
      <c r="C837" s="2"/>
    </row>
    <row r="838" ht="16.5" customHeight="1">
      <c r="B838" s="2"/>
      <c r="C838" s="2"/>
    </row>
    <row r="839" ht="16.5" customHeight="1">
      <c r="B839" s="2"/>
      <c r="C839" s="2"/>
    </row>
    <row r="840" ht="16.5" customHeight="1">
      <c r="B840" s="2"/>
      <c r="C840" s="2"/>
    </row>
    <row r="841" ht="16.5" customHeight="1">
      <c r="B841" s="2"/>
      <c r="C841" s="2"/>
    </row>
    <row r="842" ht="16.5" customHeight="1">
      <c r="B842" s="2"/>
      <c r="C842" s="2"/>
    </row>
    <row r="843" ht="16.5" customHeight="1">
      <c r="B843" s="2"/>
      <c r="C843" s="2"/>
    </row>
    <row r="844" ht="16.5" customHeight="1">
      <c r="B844" s="2"/>
      <c r="C844" s="2"/>
    </row>
    <row r="845" ht="16.5" customHeight="1">
      <c r="B845" s="2"/>
      <c r="C845" s="2"/>
    </row>
    <row r="846" ht="16.5" customHeight="1">
      <c r="B846" s="2"/>
      <c r="C846" s="2"/>
    </row>
    <row r="847" ht="16.5" customHeight="1">
      <c r="B847" s="2"/>
      <c r="C847" s="2"/>
    </row>
    <row r="848" ht="16.5" customHeight="1">
      <c r="B848" s="2"/>
      <c r="C848" s="2"/>
    </row>
    <row r="849" ht="16.5" customHeight="1">
      <c r="B849" s="2"/>
      <c r="C849" s="2"/>
    </row>
    <row r="850" ht="16.5" customHeight="1">
      <c r="B850" s="2"/>
      <c r="C850" s="2"/>
    </row>
    <row r="851" ht="16.5" customHeight="1">
      <c r="B851" s="2"/>
      <c r="C851" s="2"/>
    </row>
    <row r="852" ht="16.5" customHeight="1">
      <c r="B852" s="2"/>
      <c r="C852" s="2"/>
    </row>
    <row r="853" ht="16.5" customHeight="1">
      <c r="B853" s="2"/>
      <c r="C853" s="2"/>
    </row>
    <row r="854" ht="16.5" customHeight="1">
      <c r="B854" s="2"/>
      <c r="C854" s="2"/>
    </row>
    <row r="855" ht="16.5" customHeight="1">
      <c r="B855" s="2"/>
      <c r="C855" s="2"/>
    </row>
    <row r="856" ht="16.5" customHeight="1">
      <c r="B856" s="2"/>
      <c r="C856" s="2"/>
    </row>
    <row r="857" ht="16.5" customHeight="1">
      <c r="B857" s="2"/>
      <c r="C857" s="2"/>
    </row>
    <row r="858" ht="16.5" customHeight="1">
      <c r="B858" s="2"/>
      <c r="C858" s="2"/>
    </row>
    <row r="859" ht="16.5" customHeight="1">
      <c r="B859" s="2"/>
      <c r="C859" s="2"/>
    </row>
    <row r="860" ht="16.5" customHeight="1">
      <c r="B860" s="2"/>
      <c r="C860" s="2"/>
    </row>
    <row r="861" ht="16.5" customHeight="1">
      <c r="B861" s="2"/>
      <c r="C861" s="2"/>
    </row>
    <row r="862" ht="16.5" customHeight="1">
      <c r="B862" s="2"/>
      <c r="C862" s="2"/>
    </row>
    <row r="863" ht="16.5" customHeight="1">
      <c r="B863" s="2"/>
      <c r="C863" s="2"/>
    </row>
    <row r="864" ht="16.5" customHeight="1">
      <c r="B864" s="2"/>
      <c r="C864" s="2"/>
    </row>
    <row r="865" ht="16.5" customHeight="1">
      <c r="B865" s="2"/>
      <c r="C865" s="2"/>
    </row>
    <row r="866" ht="16.5" customHeight="1">
      <c r="B866" s="2"/>
      <c r="C866" s="2"/>
    </row>
    <row r="867" ht="16.5" customHeight="1">
      <c r="B867" s="2"/>
      <c r="C867" s="2"/>
    </row>
    <row r="868" ht="16.5" customHeight="1">
      <c r="B868" s="2"/>
      <c r="C868" s="2"/>
    </row>
    <row r="869" ht="16.5" customHeight="1">
      <c r="B869" s="2"/>
      <c r="C869" s="2"/>
    </row>
    <row r="870" ht="16.5" customHeight="1">
      <c r="B870" s="2"/>
      <c r="C870" s="2"/>
    </row>
    <row r="871" ht="16.5" customHeight="1">
      <c r="B871" s="2"/>
      <c r="C871" s="2"/>
    </row>
    <row r="872" ht="16.5" customHeight="1">
      <c r="B872" s="2"/>
      <c r="C872" s="2"/>
    </row>
    <row r="873" ht="16.5" customHeight="1">
      <c r="B873" s="2"/>
      <c r="C873" s="2"/>
    </row>
    <row r="874" ht="16.5" customHeight="1">
      <c r="B874" s="2"/>
      <c r="C874" s="2"/>
    </row>
    <row r="875" ht="16.5" customHeight="1">
      <c r="B875" s="2"/>
      <c r="C875" s="2"/>
    </row>
    <row r="876" ht="16.5" customHeight="1">
      <c r="B876" s="2"/>
      <c r="C876" s="2"/>
    </row>
    <row r="877" ht="16.5" customHeight="1">
      <c r="B877" s="2"/>
      <c r="C877" s="2"/>
    </row>
    <row r="878" ht="16.5" customHeight="1">
      <c r="B878" s="2"/>
      <c r="C878" s="2"/>
    </row>
    <row r="879" ht="16.5" customHeight="1">
      <c r="B879" s="2"/>
      <c r="C879" s="2"/>
    </row>
    <row r="880" ht="16.5" customHeight="1">
      <c r="B880" s="2"/>
      <c r="C880" s="2"/>
    </row>
    <row r="881" ht="16.5" customHeight="1">
      <c r="B881" s="2"/>
      <c r="C881" s="2"/>
    </row>
    <row r="882" ht="16.5" customHeight="1">
      <c r="B882" s="2"/>
      <c r="C882" s="2"/>
    </row>
    <row r="883" ht="16.5" customHeight="1">
      <c r="B883" s="2"/>
      <c r="C883" s="2"/>
    </row>
    <row r="884" ht="16.5" customHeight="1">
      <c r="B884" s="2"/>
      <c r="C884" s="2"/>
    </row>
    <row r="885" ht="16.5" customHeight="1">
      <c r="B885" s="2"/>
      <c r="C885" s="2"/>
    </row>
    <row r="886" ht="16.5" customHeight="1">
      <c r="B886" s="2"/>
      <c r="C886" s="2"/>
    </row>
    <row r="887" ht="16.5" customHeight="1">
      <c r="B887" s="2"/>
      <c r="C887" s="2"/>
    </row>
    <row r="888" ht="16.5" customHeight="1">
      <c r="B888" s="2"/>
      <c r="C888" s="2"/>
    </row>
    <row r="889" ht="16.5" customHeight="1">
      <c r="B889" s="2"/>
      <c r="C889" s="2"/>
    </row>
    <row r="890" ht="16.5" customHeight="1">
      <c r="B890" s="2"/>
      <c r="C890" s="2"/>
    </row>
    <row r="891" ht="16.5" customHeight="1">
      <c r="B891" s="2"/>
      <c r="C891" s="2"/>
    </row>
    <row r="892" ht="16.5" customHeight="1">
      <c r="B892" s="2"/>
      <c r="C892" s="2"/>
    </row>
    <row r="893" ht="16.5" customHeight="1">
      <c r="B893" s="2"/>
      <c r="C893" s="2"/>
    </row>
    <row r="894" ht="16.5" customHeight="1">
      <c r="B894" s="2"/>
      <c r="C894" s="2"/>
    </row>
    <row r="895" ht="16.5" customHeight="1">
      <c r="B895" s="2"/>
      <c r="C895" s="2"/>
    </row>
    <row r="896" ht="16.5" customHeight="1">
      <c r="B896" s="2"/>
      <c r="C896" s="2"/>
    </row>
    <row r="897" ht="16.5" customHeight="1">
      <c r="B897" s="2"/>
      <c r="C897" s="2"/>
    </row>
    <row r="898" ht="16.5" customHeight="1">
      <c r="B898" s="2"/>
      <c r="C898" s="2"/>
    </row>
    <row r="899" ht="16.5" customHeight="1">
      <c r="B899" s="2"/>
      <c r="C899" s="2"/>
    </row>
    <row r="900" ht="16.5" customHeight="1">
      <c r="B900" s="2"/>
      <c r="C900" s="2"/>
    </row>
    <row r="901" ht="16.5" customHeight="1">
      <c r="B901" s="2"/>
      <c r="C901" s="2"/>
    </row>
    <row r="902" ht="16.5" customHeight="1">
      <c r="B902" s="2"/>
      <c r="C902" s="2"/>
    </row>
    <row r="903" ht="16.5" customHeight="1">
      <c r="B903" s="2"/>
      <c r="C903" s="2"/>
    </row>
    <row r="904" ht="16.5" customHeight="1">
      <c r="B904" s="2"/>
      <c r="C904" s="2"/>
    </row>
    <row r="905" ht="16.5" customHeight="1">
      <c r="B905" s="2"/>
      <c r="C905" s="2"/>
    </row>
    <row r="906" ht="16.5" customHeight="1">
      <c r="B906" s="2"/>
      <c r="C906" s="2"/>
    </row>
    <row r="907" ht="16.5" customHeight="1">
      <c r="B907" s="2"/>
      <c r="C907" s="2"/>
    </row>
    <row r="908" ht="16.5" customHeight="1">
      <c r="B908" s="2"/>
      <c r="C908" s="2"/>
    </row>
    <row r="909" ht="16.5" customHeight="1">
      <c r="B909" s="2"/>
      <c r="C909" s="2"/>
    </row>
    <row r="910" ht="16.5" customHeight="1">
      <c r="B910" s="2"/>
      <c r="C910" s="2"/>
    </row>
    <row r="911" ht="16.5" customHeight="1">
      <c r="B911" s="2"/>
      <c r="C911" s="2"/>
    </row>
    <row r="912" ht="16.5" customHeight="1">
      <c r="B912" s="2"/>
      <c r="C912" s="2"/>
    </row>
    <row r="913" ht="16.5" customHeight="1">
      <c r="B913" s="2"/>
      <c r="C913" s="2"/>
    </row>
    <row r="914" ht="16.5" customHeight="1">
      <c r="B914" s="2"/>
      <c r="C914" s="2"/>
    </row>
    <row r="915" ht="16.5" customHeight="1">
      <c r="B915" s="2"/>
      <c r="C915" s="2"/>
    </row>
    <row r="916" ht="16.5" customHeight="1">
      <c r="B916" s="2"/>
      <c r="C916" s="2"/>
    </row>
    <row r="917" ht="16.5" customHeight="1">
      <c r="B917" s="2"/>
      <c r="C917" s="2"/>
    </row>
    <row r="918" ht="16.5" customHeight="1">
      <c r="B918" s="2"/>
      <c r="C918" s="2"/>
    </row>
    <row r="919" ht="16.5" customHeight="1">
      <c r="B919" s="2"/>
      <c r="C919" s="2"/>
    </row>
    <row r="920" ht="16.5" customHeight="1">
      <c r="B920" s="2"/>
      <c r="C920" s="2"/>
    </row>
    <row r="921" ht="16.5" customHeight="1">
      <c r="B921" s="2"/>
      <c r="C921" s="2"/>
    </row>
    <row r="922" ht="16.5" customHeight="1">
      <c r="B922" s="2"/>
      <c r="C922" s="2"/>
    </row>
    <row r="923" ht="16.5" customHeight="1">
      <c r="B923" s="2"/>
      <c r="C923" s="2"/>
    </row>
    <row r="924" ht="16.5" customHeight="1">
      <c r="B924" s="2"/>
      <c r="C924" s="2"/>
    </row>
    <row r="925" ht="16.5" customHeight="1">
      <c r="B925" s="2"/>
      <c r="C925" s="2"/>
    </row>
    <row r="926" ht="16.5" customHeight="1">
      <c r="B926" s="2"/>
      <c r="C926" s="2"/>
    </row>
    <row r="927" ht="16.5" customHeight="1">
      <c r="B927" s="2"/>
      <c r="C927" s="2"/>
    </row>
    <row r="928" ht="16.5" customHeight="1">
      <c r="B928" s="2"/>
      <c r="C928" s="2"/>
    </row>
    <row r="929" ht="16.5" customHeight="1">
      <c r="B929" s="2"/>
      <c r="C929" s="2"/>
    </row>
    <row r="930" ht="16.5" customHeight="1">
      <c r="B930" s="2"/>
      <c r="C930" s="2"/>
    </row>
    <row r="931" ht="16.5" customHeight="1">
      <c r="B931" s="2"/>
      <c r="C931" s="2"/>
    </row>
    <row r="932" ht="16.5" customHeight="1">
      <c r="B932" s="2"/>
      <c r="C932" s="2"/>
    </row>
    <row r="933" ht="16.5" customHeight="1">
      <c r="B933" s="2"/>
      <c r="C933" s="2"/>
    </row>
    <row r="934" ht="16.5" customHeight="1">
      <c r="B934" s="2"/>
      <c r="C934" s="2"/>
    </row>
    <row r="935" ht="16.5" customHeight="1">
      <c r="B935" s="2"/>
      <c r="C935" s="2"/>
    </row>
    <row r="936" ht="16.5" customHeight="1">
      <c r="B936" s="2"/>
      <c r="C936" s="2"/>
    </row>
    <row r="937" ht="16.5" customHeight="1">
      <c r="B937" s="2"/>
      <c r="C937" s="2"/>
    </row>
    <row r="938" ht="16.5" customHeight="1">
      <c r="B938" s="2"/>
      <c r="C938" s="2"/>
    </row>
    <row r="939" ht="16.5" customHeight="1">
      <c r="B939" s="2"/>
      <c r="C939" s="2"/>
    </row>
    <row r="940" ht="16.5" customHeight="1">
      <c r="B940" s="2"/>
      <c r="C940" s="2"/>
    </row>
    <row r="941" ht="16.5" customHeight="1">
      <c r="B941" s="2"/>
      <c r="C941" s="2"/>
    </row>
    <row r="942" ht="16.5" customHeight="1">
      <c r="B942" s="2"/>
      <c r="C942" s="2"/>
    </row>
    <row r="943" ht="16.5" customHeight="1">
      <c r="B943" s="2"/>
      <c r="C943" s="2"/>
    </row>
    <row r="944" ht="16.5" customHeight="1">
      <c r="B944" s="2"/>
      <c r="C944" s="2"/>
    </row>
    <row r="945" ht="16.5" customHeight="1">
      <c r="B945" s="2"/>
      <c r="C945" s="2"/>
    </row>
    <row r="946" ht="16.5" customHeight="1">
      <c r="B946" s="2"/>
      <c r="C946" s="2"/>
    </row>
    <row r="947" ht="16.5" customHeight="1">
      <c r="B947" s="2"/>
      <c r="C947" s="2"/>
    </row>
    <row r="948" ht="16.5" customHeight="1">
      <c r="B948" s="2"/>
      <c r="C948" s="2"/>
    </row>
    <row r="949" ht="16.5" customHeight="1">
      <c r="B949" s="2"/>
      <c r="C949" s="2"/>
    </row>
    <row r="950" ht="16.5" customHeight="1">
      <c r="B950" s="2"/>
      <c r="C950" s="2"/>
    </row>
    <row r="951" ht="16.5" customHeight="1">
      <c r="B951" s="2"/>
      <c r="C951" s="2"/>
    </row>
    <row r="952" ht="16.5" customHeight="1">
      <c r="B952" s="2"/>
      <c r="C952" s="2"/>
    </row>
    <row r="953" ht="16.5" customHeight="1">
      <c r="B953" s="2"/>
      <c r="C953" s="2"/>
    </row>
    <row r="954" ht="16.5" customHeight="1">
      <c r="B954" s="2"/>
      <c r="C954" s="2"/>
    </row>
    <row r="955" ht="16.5" customHeight="1">
      <c r="B955" s="2"/>
      <c r="C955" s="2"/>
    </row>
    <row r="956" ht="16.5" customHeight="1">
      <c r="B956" s="2"/>
      <c r="C956" s="2"/>
    </row>
    <row r="957" ht="16.5" customHeight="1">
      <c r="B957" s="2"/>
      <c r="C957" s="2"/>
    </row>
    <row r="958" ht="16.5" customHeight="1">
      <c r="B958" s="2"/>
      <c r="C958" s="2"/>
    </row>
    <row r="959" ht="16.5" customHeight="1">
      <c r="B959" s="2"/>
      <c r="C959" s="2"/>
    </row>
    <row r="960" ht="16.5" customHeight="1">
      <c r="B960" s="2"/>
      <c r="C960" s="2"/>
    </row>
    <row r="961" ht="16.5" customHeight="1">
      <c r="B961" s="2"/>
      <c r="C961" s="2"/>
    </row>
    <row r="962" ht="16.5" customHeight="1">
      <c r="B962" s="2"/>
      <c r="C962" s="2"/>
    </row>
    <row r="963" ht="16.5" customHeight="1">
      <c r="B963" s="2"/>
      <c r="C963" s="2"/>
    </row>
    <row r="964" ht="16.5" customHeight="1">
      <c r="B964" s="2"/>
      <c r="C964" s="2"/>
    </row>
    <row r="965" ht="16.5" customHeight="1">
      <c r="B965" s="2"/>
      <c r="C965" s="2"/>
    </row>
    <row r="966" ht="16.5" customHeight="1">
      <c r="B966" s="2"/>
      <c r="C966" s="2"/>
    </row>
    <row r="967" ht="16.5" customHeight="1">
      <c r="B967" s="2"/>
      <c r="C967" s="2"/>
    </row>
    <row r="968" ht="16.5" customHeight="1">
      <c r="B968" s="2"/>
      <c r="C968" s="2"/>
    </row>
    <row r="969" ht="16.5" customHeight="1">
      <c r="B969" s="2"/>
      <c r="C969" s="2"/>
    </row>
    <row r="970" ht="16.5" customHeight="1">
      <c r="B970" s="2"/>
      <c r="C970" s="2"/>
    </row>
    <row r="971" ht="16.5" customHeight="1">
      <c r="B971" s="2"/>
      <c r="C971" s="2"/>
    </row>
  </sheetData>
  <mergeCells count="9">
    <mergeCell ref="N2:N3"/>
    <mergeCell ref="O2:O3"/>
    <mergeCell ref="B2:B3"/>
    <mergeCell ref="C2:C3"/>
    <mergeCell ref="D2:E2"/>
    <mergeCell ref="F2:F3"/>
    <mergeCell ref="G2:G3"/>
    <mergeCell ref="H2:H3"/>
    <mergeCell ref="I2:I3"/>
  </mergeCells>
  <hyperlinks>
    <hyperlink r:id="rId1" ref="C8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8.56"/>
    <col customWidth="1" min="2" max="2" width="30.78"/>
    <col customWidth="1" min="3" max="3" width="19.78"/>
    <col customWidth="1" min="4" max="4" width="10.44"/>
    <col customWidth="1" min="5" max="5" width="14.44"/>
    <col customWidth="1" min="6" max="12" width="13.67"/>
    <col customWidth="1" min="13" max="15" width="14.67"/>
    <col customWidth="1" min="16" max="16" width="15.67"/>
    <col customWidth="1" min="17" max="30" width="8.56"/>
  </cols>
  <sheetData>
    <row r="1" ht="16.5" customHeight="1">
      <c r="B1" s="2"/>
      <c r="C1" s="2"/>
    </row>
    <row r="2" ht="32.25" customHeight="1">
      <c r="B2" s="4" t="s">
        <v>0</v>
      </c>
      <c r="C2" s="4" t="s">
        <v>1</v>
      </c>
      <c r="D2" s="5" t="s">
        <v>2</v>
      </c>
      <c r="E2" s="6"/>
      <c r="F2" s="8" t="s">
        <v>3</v>
      </c>
      <c r="G2" s="8" t="s">
        <v>5</v>
      </c>
      <c r="H2" s="8" t="s">
        <v>6</v>
      </c>
      <c r="I2" s="8" t="s">
        <v>7</v>
      </c>
      <c r="J2" s="10"/>
      <c r="K2" s="8"/>
      <c r="L2" s="8"/>
      <c r="M2" s="4"/>
      <c r="N2" s="4" t="s">
        <v>10</v>
      </c>
      <c r="O2" s="13" t="s">
        <v>11</v>
      </c>
    </row>
    <row r="3" ht="16.5" customHeight="1">
      <c r="B3" s="14"/>
      <c r="C3" s="14"/>
      <c r="D3" s="16" t="s">
        <v>16</v>
      </c>
      <c r="E3" s="16" t="s">
        <v>4</v>
      </c>
      <c r="F3" s="14"/>
      <c r="G3" s="14"/>
      <c r="H3" s="14"/>
      <c r="I3" s="14"/>
      <c r="J3" s="18"/>
      <c r="K3" s="19"/>
      <c r="L3" s="19"/>
      <c r="M3" s="22"/>
      <c r="N3" s="14"/>
      <c r="O3" s="14"/>
    </row>
    <row r="4" ht="16.5" customHeight="1">
      <c r="B4" s="25" t="s">
        <v>24</v>
      </c>
      <c r="C4" s="25" t="s">
        <v>26</v>
      </c>
      <c r="D4" s="28"/>
      <c r="E4" s="31"/>
      <c r="F4" s="33"/>
      <c r="G4" s="33"/>
      <c r="H4" s="33"/>
      <c r="I4" s="33"/>
      <c r="J4" s="33"/>
      <c r="K4" s="33"/>
      <c r="L4" s="33"/>
      <c r="M4" s="33"/>
      <c r="N4" s="38">
        <f t="shared" ref="N4:N16" si="1">E4-F4-G4-H4</f>
        <v>0</v>
      </c>
      <c r="O4" s="38"/>
    </row>
    <row r="5" ht="16.5" customHeight="1">
      <c r="B5" s="25" t="s">
        <v>31</v>
      </c>
      <c r="C5" s="25" t="s">
        <v>32</v>
      </c>
      <c r="D5" s="28"/>
      <c r="E5" s="31"/>
      <c r="F5" s="33"/>
      <c r="G5" s="33"/>
      <c r="H5" s="33"/>
      <c r="I5" s="33"/>
      <c r="J5" s="33"/>
      <c r="K5" s="33"/>
      <c r="L5" s="33"/>
      <c r="M5" s="33"/>
      <c r="N5" s="38">
        <f t="shared" si="1"/>
        <v>0</v>
      </c>
      <c r="O5" s="38"/>
    </row>
    <row r="6" ht="16.5" customHeight="1">
      <c r="B6" s="25" t="s">
        <v>34</v>
      </c>
      <c r="C6" s="25" t="s">
        <v>35</v>
      </c>
      <c r="D6" s="28"/>
      <c r="E6" s="33"/>
      <c r="F6" s="33"/>
      <c r="G6" s="33"/>
      <c r="H6" s="33"/>
      <c r="I6" s="33"/>
      <c r="J6" s="33"/>
      <c r="K6" s="33"/>
      <c r="L6" s="33"/>
      <c r="M6" s="33"/>
      <c r="N6" s="38">
        <f t="shared" si="1"/>
        <v>0</v>
      </c>
      <c r="O6" s="38"/>
    </row>
    <row r="7" ht="16.5" customHeight="1">
      <c r="B7" s="25" t="s">
        <v>36</v>
      </c>
      <c r="C7" s="25" t="s">
        <v>38</v>
      </c>
      <c r="D7" s="49"/>
      <c r="E7" s="52"/>
      <c r="F7" s="38"/>
      <c r="G7" s="38"/>
      <c r="H7" s="38"/>
      <c r="I7" s="38"/>
      <c r="J7" s="38"/>
      <c r="K7" s="38"/>
      <c r="L7" s="38"/>
      <c r="M7" s="38"/>
      <c r="N7" s="38">
        <f t="shared" si="1"/>
        <v>0</v>
      </c>
      <c r="O7" s="38"/>
    </row>
    <row r="8" ht="16.5" customHeight="1">
      <c r="B8" s="25" t="s">
        <v>46</v>
      </c>
      <c r="C8" s="58" t="s">
        <v>47</v>
      </c>
      <c r="D8" s="49"/>
      <c r="E8" s="52"/>
      <c r="F8" s="38"/>
      <c r="G8" s="38"/>
      <c r="H8" s="38"/>
      <c r="I8" s="38"/>
      <c r="J8" s="38"/>
      <c r="K8" s="38"/>
      <c r="L8" s="38"/>
      <c r="M8" s="38"/>
      <c r="N8" s="38">
        <f t="shared" si="1"/>
        <v>0</v>
      </c>
      <c r="O8" s="38"/>
    </row>
    <row r="9" ht="16.5" customHeight="1">
      <c r="B9" s="25" t="s">
        <v>51</v>
      </c>
      <c r="C9" s="25" t="s">
        <v>35</v>
      </c>
      <c r="D9" s="49"/>
      <c r="E9" s="52"/>
      <c r="F9" s="38"/>
      <c r="G9" s="38"/>
      <c r="H9" s="38"/>
      <c r="I9" s="38"/>
      <c r="J9" s="38"/>
      <c r="K9" s="38"/>
      <c r="L9" s="38"/>
      <c r="M9" s="38"/>
      <c r="N9" s="38">
        <f t="shared" si="1"/>
        <v>0</v>
      </c>
      <c r="O9" s="38"/>
    </row>
    <row r="10" ht="16.5" customHeight="1">
      <c r="B10" s="25" t="s">
        <v>54</v>
      </c>
      <c r="C10" s="25" t="s">
        <v>55</v>
      </c>
      <c r="D10" s="49"/>
      <c r="E10" s="52"/>
      <c r="F10" s="38"/>
      <c r="G10" s="38"/>
      <c r="H10" s="38"/>
      <c r="I10" s="38"/>
      <c r="J10" s="38"/>
      <c r="K10" s="38"/>
      <c r="L10" s="38"/>
      <c r="M10" s="38"/>
      <c r="N10" s="38">
        <f t="shared" si="1"/>
        <v>0</v>
      </c>
      <c r="O10" s="38"/>
    </row>
    <row r="11" ht="16.5" customHeight="1">
      <c r="B11" s="25" t="s">
        <v>60</v>
      </c>
      <c r="C11" s="25" t="s">
        <v>61</v>
      </c>
      <c r="D11" s="49"/>
      <c r="E11" s="52"/>
      <c r="F11" s="38"/>
      <c r="G11" s="38"/>
      <c r="H11" s="38"/>
      <c r="I11" s="38"/>
      <c r="J11" s="38"/>
      <c r="K11" s="38"/>
      <c r="L11" s="38"/>
      <c r="M11" s="38"/>
      <c r="N11" s="38">
        <f t="shared" si="1"/>
        <v>0</v>
      </c>
      <c r="O11" s="38"/>
    </row>
    <row r="12" ht="16.5" customHeight="1">
      <c r="B12" s="25" t="s">
        <v>62</v>
      </c>
      <c r="C12" s="25" t="s">
        <v>63</v>
      </c>
      <c r="D12" s="49"/>
      <c r="E12" s="52"/>
      <c r="F12" s="38"/>
      <c r="G12" s="38"/>
      <c r="H12" s="38"/>
      <c r="I12" s="38"/>
      <c r="J12" s="38"/>
      <c r="K12" s="38"/>
      <c r="L12" s="38"/>
      <c r="M12" s="38"/>
      <c r="N12" s="38">
        <f t="shared" si="1"/>
        <v>0</v>
      </c>
      <c r="O12" s="38"/>
    </row>
    <row r="13" ht="16.5" customHeight="1">
      <c r="B13" s="25" t="s">
        <v>66</v>
      </c>
      <c r="C13" s="25" t="s">
        <v>67</v>
      </c>
      <c r="D13" s="49"/>
      <c r="E13" s="52"/>
      <c r="F13" s="38"/>
      <c r="G13" s="38"/>
      <c r="H13" s="38"/>
      <c r="I13" s="38"/>
      <c r="J13" s="38"/>
      <c r="K13" s="38"/>
      <c r="L13" s="38"/>
      <c r="M13" s="38"/>
      <c r="N13" s="38">
        <f t="shared" si="1"/>
        <v>0</v>
      </c>
      <c r="O13" s="38"/>
    </row>
    <row r="14" ht="16.5" customHeight="1">
      <c r="B14" s="25" t="s">
        <v>70</v>
      </c>
      <c r="C14" s="25" t="s">
        <v>72</v>
      </c>
      <c r="D14" s="49"/>
      <c r="E14" s="52"/>
      <c r="F14" s="38"/>
      <c r="G14" s="38"/>
      <c r="H14" s="38"/>
      <c r="I14" s="38"/>
      <c r="J14" s="38"/>
      <c r="K14" s="38"/>
      <c r="L14" s="38"/>
      <c r="M14" s="38"/>
      <c r="N14" s="38">
        <f t="shared" si="1"/>
        <v>0</v>
      </c>
      <c r="O14" s="38"/>
    </row>
    <row r="15" ht="16.5" customHeight="1">
      <c r="B15" s="25" t="s">
        <v>74</v>
      </c>
      <c r="C15" s="25" t="s">
        <v>75</v>
      </c>
      <c r="D15" s="49"/>
      <c r="E15" s="52"/>
      <c r="F15" s="38"/>
      <c r="G15" s="38"/>
      <c r="H15" s="38"/>
      <c r="I15" s="38"/>
      <c r="J15" s="38"/>
      <c r="K15" s="38"/>
      <c r="L15" s="38"/>
      <c r="M15" s="38"/>
      <c r="N15" s="38">
        <f t="shared" si="1"/>
        <v>0</v>
      </c>
      <c r="O15" s="38"/>
    </row>
    <row r="16" ht="16.5" customHeight="1">
      <c r="B16" s="25" t="s">
        <v>77</v>
      </c>
      <c r="C16" s="25"/>
      <c r="D16" s="49"/>
      <c r="E16" s="56"/>
      <c r="F16" s="38"/>
      <c r="G16" s="38"/>
      <c r="H16" s="38"/>
      <c r="I16" s="38"/>
      <c r="J16" s="38"/>
      <c r="K16" s="38"/>
      <c r="L16" s="38"/>
      <c r="M16" s="38"/>
      <c r="N16" s="38">
        <f t="shared" si="1"/>
        <v>0</v>
      </c>
      <c r="O16" s="38"/>
    </row>
    <row r="17" ht="16.5" customHeight="1">
      <c r="B17" s="25" t="s">
        <v>81</v>
      </c>
      <c r="C17" s="25"/>
      <c r="D17" s="49"/>
      <c r="E17" s="52"/>
      <c r="F17" s="38"/>
      <c r="G17" s="38"/>
      <c r="H17" s="38"/>
      <c r="I17" s="38"/>
      <c r="J17" s="38"/>
      <c r="K17" s="38"/>
      <c r="L17" s="38"/>
      <c r="M17" s="38"/>
      <c r="N17" s="38"/>
      <c r="O17" s="38"/>
    </row>
    <row r="18" ht="16.5" customHeight="1">
      <c r="B18" s="25" t="s">
        <v>84</v>
      </c>
      <c r="C18" s="25" t="s">
        <v>85</v>
      </c>
      <c r="D18" s="49"/>
      <c r="E18" s="52"/>
      <c r="F18" s="38"/>
      <c r="G18" s="38"/>
      <c r="H18" s="38"/>
      <c r="I18" s="38"/>
      <c r="J18" s="38"/>
      <c r="K18" s="38"/>
      <c r="L18" s="38"/>
      <c r="M18" s="38"/>
      <c r="N18" s="38"/>
      <c r="O18" s="38"/>
    </row>
    <row r="19" ht="16.5" customHeight="1">
      <c r="B19" s="25" t="s">
        <v>89</v>
      </c>
      <c r="C19" s="25" t="s">
        <v>90</v>
      </c>
      <c r="D19" s="49"/>
      <c r="E19" s="52"/>
      <c r="F19" s="38"/>
      <c r="G19" s="38"/>
      <c r="H19" s="38"/>
      <c r="I19" s="38"/>
      <c r="J19" s="38"/>
      <c r="K19" s="38"/>
      <c r="L19" s="38"/>
      <c r="M19" s="38"/>
      <c r="N19" s="38">
        <f>E19-F19-G19-H19</f>
        <v>0</v>
      </c>
      <c r="O19" s="38"/>
    </row>
    <row r="20" ht="16.5" customHeight="1">
      <c r="B20" s="25" t="s">
        <v>93</v>
      </c>
      <c r="C20" s="25" t="s">
        <v>90</v>
      </c>
      <c r="D20" s="49"/>
      <c r="E20" s="52"/>
      <c r="F20" s="38"/>
      <c r="G20" s="38"/>
      <c r="H20" s="38"/>
      <c r="I20" s="38"/>
      <c r="J20" s="38"/>
      <c r="K20" s="38"/>
      <c r="L20" s="38"/>
      <c r="M20" s="38"/>
      <c r="N20" s="38"/>
      <c r="O20" s="38"/>
    </row>
    <row r="21" ht="16.5" customHeight="1">
      <c r="B21" s="25" t="s">
        <v>97</v>
      </c>
      <c r="C21" s="25" t="s">
        <v>98</v>
      </c>
      <c r="D21" s="49"/>
      <c r="E21" s="52"/>
      <c r="F21" s="38"/>
      <c r="G21" s="38"/>
      <c r="H21" s="38"/>
      <c r="I21" s="38"/>
      <c r="J21" s="38"/>
      <c r="K21" s="38"/>
      <c r="L21" s="38"/>
      <c r="M21" s="38"/>
      <c r="N21" s="38">
        <f>E21-F21-G21-H21</f>
        <v>0</v>
      </c>
      <c r="O21" s="38"/>
    </row>
    <row r="22" ht="16.5" customHeight="1">
      <c r="B22" s="25" t="s">
        <v>103</v>
      </c>
      <c r="C22" s="25" t="s">
        <v>104</v>
      </c>
      <c r="D22" s="49"/>
      <c r="E22" s="56"/>
      <c r="F22" s="38"/>
      <c r="G22" s="38"/>
      <c r="H22" s="38"/>
      <c r="I22" s="38"/>
      <c r="J22" s="38"/>
      <c r="K22" s="38"/>
      <c r="L22" s="38"/>
      <c r="M22" s="38"/>
      <c r="N22" s="38"/>
      <c r="O22" s="38"/>
    </row>
    <row r="23" ht="16.5" customHeight="1">
      <c r="B23" s="25"/>
      <c r="C23" s="25"/>
      <c r="D23" s="49"/>
      <c r="E23" s="56"/>
      <c r="F23" s="38"/>
      <c r="G23" s="38"/>
      <c r="H23" s="38"/>
      <c r="I23" s="38"/>
      <c r="J23" s="38"/>
      <c r="K23" s="38"/>
      <c r="L23" s="38"/>
      <c r="M23" s="38"/>
      <c r="N23" s="38"/>
      <c r="O23" s="38"/>
    </row>
    <row r="24" ht="16.5" customHeight="1">
      <c r="B24" s="25" t="s">
        <v>110</v>
      </c>
      <c r="C24" s="25" t="s">
        <v>111</v>
      </c>
      <c r="D24" s="49"/>
      <c r="E24" s="56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ht="16.5" customHeight="1">
      <c r="B25" s="25"/>
      <c r="C25" s="25"/>
      <c r="D25" s="49"/>
      <c r="E25" s="56"/>
      <c r="F25" s="38"/>
      <c r="G25" s="38"/>
      <c r="H25" s="38"/>
      <c r="I25" s="38"/>
      <c r="J25" s="38"/>
      <c r="K25" s="38"/>
      <c r="L25" s="38"/>
      <c r="M25" s="38"/>
      <c r="N25" s="38">
        <f t="shared" ref="N25:N27" si="2">E25-F25-G25-H25</f>
        <v>0</v>
      </c>
      <c r="O25" s="38"/>
    </row>
    <row r="26" ht="16.5" customHeight="1">
      <c r="B26" s="25"/>
      <c r="C26" s="25"/>
      <c r="D26" s="49"/>
      <c r="E26" s="56"/>
      <c r="F26" s="38"/>
      <c r="G26" s="38"/>
      <c r="H26" s="38"/>
      <c r="I26" s="38"/>
      <c r="J26" s="38"/>
      <c r="K26" s="38"/>
      <c r="L26" s="38"/>
      <c r="M26" s="38"/>
      <c r="N26" s="38">
        <f t="shared" si="2"/>
        <v>0</v>
      </c>
      <c r="O26" s="38"/>
    </row>
    <row r="27" ht="16.5" customHeight="1">
      <c r="B27" s="25" t="s">
        <v>121</v>
      </c>
      <c r="C27" s="25"/>
      <c r="D27" s="49"/>
      <c r="E27" s="52"/>
      <c r="F27" s="38"/>
      <c r="G27" s="38"/>
      <c r="H27" s="38"/>
      <c r="I27" s="38"/>
      <c r="J27" s="38"/>
      <c r="K27" s="38"/>
      <c r="L27" s="38"/>
      <c r="M27" s="38"/>
      <c r="N27" s="38">
        <f t="shared" si="2"/>
        <v>0</v>
      </c>
      <c r="O27" s="38"/>
    </row>
    <row r="28" ht="16.5" customHeight="1">
      <c r="B28" s="25" t="s">
        <v>124</v>
      </c>
      <c r="C28" s="54"/>
      <c r="D28" s="49"/>
      <c r="E28" s="56"/>
      <c r="F28" s="38"/>
      <c r="G28" s="38"/>
      <c r="H28" s="38"/>
      <c r="I28" s="38"/>
      <c r="J28" s="38"/>
      <c r="K28" s="38"/>
      <c r="L28" s="38"/>
      <c r="M28" s="38"/>
      <c r="N28" s="38">
        <f>E28-F28-G28-H28-I28</f>
        <v>0</v>
      </c>
      <c r="O28" s="38"/>
    </row>
    <row r="29" ht="16.5" customHeight="1">
      <c r="B29" s="54"/>
      <c r="C29" s="51"/>
      <c r="D29" s="59"/>
      <c r="E29" s="84"/>
      <c r="F29" s="87"/>
      <c r="G29" s="87"/>
      <c r="H29" s="87"/>
      <c r="I29" s="87"/>
      <c r="J29" s="87"/>
      <c r="K29" s="87"/>
      <c r="L29" s="87"/>
      <c r="M29" s="87"/>
      <c r="N29" s="38"/>
      <c r="O29" s="87"/>
    </row>
    <row r="30" ht="16.5" customHeight="1">
      <c r="B30" s="90"/>
      <c r="C30" s="90"/>
      <c r="D30" s="91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</row>
    <row r="31" ht="16.5" customHeight="1">
      <c r="B31" s="2"/>
      <c r="C31" s="2"/>
      <c r="E31" s="97">
        <f>SUM(E7:E29)</f>
        <v>0</v>
      </c>
      <c r="F31" s="100">
        <f t="shared" ref="F31:L31" si="3">SUM(F4:F29)</f>
        <v>0</v>
      </c>
      <c r="G31" s="100">
        <f t="shared" si="3"/>
        <v>0</v>
      </c>
      <c r="H31" s="100">
        <f t="shared" si="3"/>
        <v>0</v>
      </c>
      <c r="I31" s="100">
        <f t="shared" si="3"/>
        <v>0</v>
      </c>
      <c r="J31" s="100">
        <f t="shared" si="3"/>
        <v>0</v>
      </c>
      <c r="K31" s="100">
        <f t="shared" si="3"/>
        <v>0</v>
      </c>
      <c r="L31" s="100">
        <f t="shared" si="3"/>
        <v>0</v>
      </c>
      <c r="M31" s="104"/>
      <c r="N31" s="104">
        <f>SUM(N7:N29)</f>
        <v>0</v>
      </c>
      <c r="O31" s="104">
        <f>F31+G31+H31+I31+J31+K31+L31</f>
        <v>0</v>
      </c>
    </row>
    <row r="32" ht="16.5" customHeight="1">
      <c r="B32" s="2"/>
      <c r="C32" s="2"/>
      <c r="O32" s="7"/>
    </row>
    <row r="33" ht="16.5" customHeight="1">
      <c r="B33" s="2"/>
      <c r="C33" s="2"/>
      <c r="F33" s="7"/>
      <c r="G33" s="7"/>
      <c r="H33" s="7"/>
      <c r="I33" s="7"/>
      <c r="J33" s="7"/>
      <c r="K33" s="7"/>
      <c r="L33" s="7"/>
      <c r="O33" s="7"/>
    </row>
    <row r="34" ht="16.5" customHeight="1">
      <c r="B34" s="2"/>
      <c r="C34" s="2"/>
      <c r="F34" s="7"/>
      <c r="G34" s="7"/>
      <c r="H34" s="7"/>
      <c r="I34" s="7"/>
      <c r="J34" s="7"/>
      <c r="K34" s="7"/>
      <c r="L34" s="7"/>
      <c r="O34" s="7"/>
    </row>
    <row r="35" ht="16.5" customHeight="1">
      <c r="B35" s="2"/>
      <c r="C35" s="2"/>
      <c r="F35" s="7"/>
      <c r="G35" s="7"/>
      <c r="H35" s="7"/>
      <c r="I35" s="7"/>
      <c r="J35" s="7"/>
      <c r="K35" s="7"/>
      <c r="L35" s="7"/>
      <c r="O35" s="7"/>
    </row>
    <row r="36" ht="16.5" customHeight="1">
      <c r="B36" s="2"/>
      <c r="C36" s="2"/>
      <c r="F36" s="7"/>
      <c r="G36" s="7"/>
      <c r="H36" s="7"/>
      <c r="I36" s="7"/>
      <c r="J36" s="7"/>
      <c r="K36" s="7"/>
      <c r="L36" s="7"/>
      <c r="O36" s="7"/>
    </row>
    <row r="37" ht="16.5" customHeight="1">
      <c r="B37" s="2"/>
      <c r="C37" s="2"/>
      <c r="F37" s="7"/>
      <c r="G37" s="7"/>
      <c r="H37" s="7"/>
      <c r="I37" s="7"/>
      <c r="J37" s="7"/>
      <c r="K37" s="7"/>
      <c r="L37" s="7"/>
      <c r="O37" s="7"/>
    </row>
    <row r="38" ht="16.5" customHeight="1">
      <c r="B38" s="2"/>
      <c r="C38" s="2"/>
      <c r="F38" s="7"/>
      <c r="G38" s="7"/>
      <c r="H38" s="7"/>
      <c r="I38" s="7"/>
      <c r="J38" s="7"/>
      <c r="K38" s="7"/>
      <c r="L38" s="7"/>
      <c r="O38" s="7"/>
    </row>
    <row r="39" ht="16.5" customHeight="1">
      <c r="B39" s="2"/>
      <c r="C39" s="2"/>
    </row>
    <row r="40" ht="16.5" customHeight="1">
      <c r="B40" s="2"/>
      <c r="C40" s="2"/>
    </row>
    <row r="41" ht="16.5" customHeight="1">
      <c r="B41" s="2"/>
      <c r="C41" s="2"/>
    </row>
    <row r="42" ht="16.5" customHeight="1">
      <c r="B42" s="2"/>
      <c r="C42" s="2"/>
    </row>
    <row r="43" ht="16.5" customHeight="1">
      <c r="B43" s="2"/>
      <c r="C43" s="2"/>
    </row>
    <row r="44" ht="16.5" customHeight="1">
      <c r="B44" s="2"/>
      <c r="C44" s="2"/>
    </row>
    <row r="45" ht="16.5" customHeight="1">
      <c r="B45" s="2"/>
      <c r="C45" s="2"/>
    </row>
    <row r="46" ht="16.5" customHeight="1">
      <c r="B46" s="2"/>
      <c r="C46" s="2"/>
    </row>
    <row r="47" ht="16.5" customHeight="1">
      <c r="B47" s="2"/>
      <c r="C47" s="2"/>
    </row>
    <row r="48" ht="16.5" customHeight="1">
      <c r="B48" s="2"/>
      <c r="C48" s="2"/>
    </row>
    <row r="49" ht="16.5" customHeight="1">
      <c r="B49" s="2"/>
      <c r="C49" s="2"/>
    </row>
    <row r="50" ht="16.5" customHeight="1">
      <c r="B50" s="2"/>
      <c r="C50" s="2"/>
    </row>
    <row r="51" ht="16.5" customHeight="1">
      <c r="B51" s="2"/>
      <c r="C51" s="2"/>
    </row>
    <row r="52" ht="16.5" customHeight="1">
      <c r="B52" s="2"/>
      <c r="C52" s="2"/>
    </row>
    <row r="53" ht="16.5" customHeight="1">
      <c r="B53" s="2"/>
      <c r="C53" s="2"/>
    </row>
    <row r="54" ht="16.5" customHeight="1">
      <c r="B54" s="2"/>
      <c r="C54" s="2"/>
    </row>
    <row r="55" ht="16.5" customHeight="1">
      <c r="B55" s="2"/>
      <c r="C55" s="2"/>
    </row>
    <row r="56" ht="16.5" customHeight="1">
      <c r="B56" s="2"/>
      <c r="C56" s="2"/>
    </row>
    <row r="57" ht="16.5" customHeight="1">
      <c r="B57" s="2"/>
      <c r="C57" s="2"/>
    </row>
    <row r="58" ht="16.5" customHeight="1">
      <c r="B58" s="2"/>
      <c r="C58" s="2"/>
    </row>
    <row r="59" ht="16.5" customHeight="1">
      <c r="B59" s="2"/>
      <c r="C59" s="2"/>
    </row>
    <row r="60" ht="16.5" customHeight="1">
      <c r="B60" s="2"/>
      <c r="C60" s="2"/>
    </row>
    <row r="61" ht="16.5" customHeight="1">
      <c r="B61" s="2"/>
      <c r="C61" s="2"/>
    </row>
    <row r="62" ht="16.5" customHeight="1">
      <c r="B62" s="2"/>
      <c r="C62" s="2"/>
    </row>
    <row r="63" ht="16.5" customHeight="1">
      <c r="B63" s="2"/>
      <c r="C63" s="2"/>
    </row>
    <row r="64" ht="16.5" customHeight="1">
      <c r="B64" s="2"/>
      <c r="C64" s="2"/>
    </row>
    <row r="65" ht="16.5" customHeight="1">
      <c r="B65" s="2"/>
      <c r="C65" s="2"/>
    </row>
    <row r="66" ht="16.5" customHeight="1">
      <c r="B66" s="2"/>
      <c r="C66" s="2"/>
    </row>
    <row r="67" ht="16.5" customHeight="1">
      <c r="B67" s="2"/>
      <c r="C67" s="2"/>
    </row>
    <row r="68" ht="16.5" customHeight="1">
      <c r="B68" s="2"/>
      <c r="C68" s="2"/>
    </row>
    <row r="69" ht="16.5" customHeight="1">
      <c r="B69" s="2"/>
      <c r="C69" s="2"/>
    </row>
    <row r="70" ht="16.5" customHeight="1">
      <c r="B70" s="2"/>
      <c r="C70" s="2"/>
    </row>
    <row r="71" ht="16.5" customHeight="1">
      <c r="B71" s="2"/>
      <c r="C71" s="2"/>
    </row>
    <row r="72" ht="16.5" customHeight="1">
      <c r="B72" s="2"/>
      <c r="C72" s="2"/>
    </row>
    <row r="73" ht="16.5" customHeight="1">
      <c r="B73" s="2"/>
      <c r="C73" s="2"/>
    </row>
    <row r="74" ht="16.5" customHeight="1">
      <c r="B74" s="2"/>
      <c r="C74" s="2"/>
    </row>
    <row r="75" ht="16.5" customHeight="1">
      <c r="B75" s="2"/>
      <c r="C75" s="2"/>
    </row>
    <row r="76" ht="16.5" customHeight="1">
      <c r="B76" s="2"/>
      <c r="C76" s="2"/>
    </row>
    <row r="77" ht="16.5" customHeight="1">
      <c r="B77" s="2"/>
      <c r="C77" s="2"/>
    </row>
    <row r="78" ht="16.5" customHeight="1">
      <c r="B78" s="2"/>
      <c r="C78" s="2"/>
    </row>
    <row r="79" ht="16.5" customHeight="1">
      <c r="B79" s="2"/>
      <c r="C79" s="2"/>
    </row>
    <row r="80" ht="16.5" customHeight="1">
      <c r="B80" s="2"/>
      <c r="C80" s="2"/>
    </row>
    <row r="81" ht="16.5" customHeight="1">
      <c r="B81" s="2"/>
      <c r="C81" s="2"/>
    </row>
    <row r="82" ht="16.5" customHeight="1">
      <c r="B82" s="2"/>
      <c r="C82" s="2"/>
    </row>
    <row r="83" ht="16.5" customHeight="1">
      <c r="B83" s="2"/>
      <c r="C83" s="2"/>
    </row>
    <row r="84" ht="16.5" customHeight="1">
      <c r="B84" s="2"/>
      <c r="C84" s="2"/>
    </row>
    <row r="85" ht="16.5" customHeight="1">
      <c r="B85" s="2"/>
      <c r="C85" s="2"/>
    </row>
    <row r="86" ht="16.5" customHeight="1">
      <c r="B86" s="2"/>
      <c r="C86" s="2"/>
    </row>
    <row r="87" ht="16.5" customHeight="1">
      <c r="B87" s="2"/>
      <c r="C87" s="2"/>
    </row>
    <row r="88" ht="16.5" customHeight="1">
      <c r="B88" s="2"/>
      <c r="C88" s="2"/>
    </row>
    <row r="89" ht="16.5" customHeight="1">
      <c r="B89" s="2"/>
      <c r="C89" s="2"/>
    </row>
    <row r="90" ht="16.5" customHeight="1">
      <c r="B90" s="2"/>
      <c r="C90" s="2"/>
    </row>
    <row r="91" ht="16.5" customHeight="1">
      <c r="B91" s="2"/>
      <c r="C91" s="2"/>
    </row>
    <row r="92" ht="16.5" customHeight="1">
      <c r="B92" s="2"/>
      <c r="C92" s="2"/>
    </row>
    <row r="93" ht="16.5" customHeight="1">
      <c r="B93" s="2"/>
      <c r="C93" s="2"/>
    </row>
    <row r="94" ht="16.5" customHeight="1">
      <c r="B94" s="2"/>
      <c r="C94" s="2"/>
    </row>
    <row r="95" ht="16.5" customHeight="1">
      <c r="B95" s="2"/>
      <c r="C95" s="2"/>
    </row>
    <row r="96" ht="16.5" customHeight="1">
      <c r="B96" s="2"/>
      <c r="C96" s="2"/>
    </row>
    <row r="97" ht="16.5" customHeight="1">
      <c r="B97" s="2"/>
      <c r="C97" s="2"/>
    </row>
    <row r="98" ht="16.5" customHeight="1">
      <c r="B98" s="2"/>
      <c r="C98" s="2"/>
    </row>
    <row r="99" ht="16.5" customHeight="1">
      <c r="B99" s="2"/>
      <c r="C99" s="2"/>
    </row>
    <row r="100" ht="16.5" customHeight="1">
      <c r="B100" s="2"/>
      <c r="C100" s="2"/>
    </row>
    <row r="101" ht="16.5" customHeight="1">
      <c r="B101" s="2"/>
      <c r="C101" s="2"/>
    </row>
    <row r="102" ht="16.5" customHeight="1">
      <c r="B102" s="2"/>
      <c r="C102" s="2"/>
    </row>
    <row r="103" ht="16.5" customHeight="1">
      <c r="B103" s="2"/>
      <c r="C103" s="2"/>
    </row>
    <row r="104" ht="16.5" customHeight="1">
      <c r="B104" s="2"/>
      <c r="C104" s="2"/>
    </row>
    <row r="105" ht="16.5" customHeight="1">
      <c r="B105" s="2"/>
      <c r="C105" s="2"/>
    </row>
    <row r="106" ht="16.5" customHeight="1">
      <c r="B106" s="2"/>
      <c r="C106" s="2"/>
    </row>
    <row r="107" ht="16.5" customHeight="1">
      <c r="B107" s="2"/>
      <c r="C107" s="2"/>
    </row>
    <row r="108" ht="16.5" customHeight="1">
      <c r="B108" s="2"/>
      <c r="C108" s="2"/>
    </row>
    <row r="109" ht="16.5" customHeight="1">
      <c r="B109" s="2"/>
      <c r="C109" s="2"/>
    </row>
    <row r="110" ht="16.5" customHeight="1">
      <c r="B110" s="2"/>
      <c r="C110" s="2"/>
    </row>
    <row r="111" ht="16.5" customHeight="1">
      <c r="B111" s="2"/>
      <c r="C111" s="2"/>
    </row>
    <row r="112" ht="16.5" customHeight="1">
      <c r="B112" s="2"/>
      <c r="C112" s="2"/>
    </row>
    <row r="113" ht="16.5" customHeight="1">
      <c r="B113" s="2"/>
      <c r="C113" s="2"/>
    </row>
    <row r="114" ht="16.5" customHeight="1">
      <c r="B114" s="2"/>
      <c r="C114" s="2"/>
    </row>
    <row r="115" ht="16.5" customHeight="1">
      <c r="B115" s="2"/>
      <c r="C115" s="2"/>
    </row>
    <row r="116" ht="16.5" customHeight="1">
      <c r="B116" s="2"/>
      <c r="C116" s="2"/>
    </row>
    <row r="117" ht="16.5" customHeight="1">
      <c r="B117" s="2"/>
      <c r="C117" s="2"/>
    </row>
    <row r="118" ht="16.5" customHeight="1">
      <c r="B118" s="2"/>
      <c r="C118" s="2"/>
    </row>
    <row r="119" ht="16.5" customHeight="1">
      <c r="B119" s="2"/>
      <c r="C119" s="2"/>
    </row>
    <row r="120" ht="16.5" customHeight="1">
      <c r="B120" s="2"/>
      <c r="C120" s="2"/>
    </row>
    <row r="121" ht="16.5" customHeight="1">
      <c r="B121" s="2"/>
      <c r="C121" s="2"/>
    </row>
    <row r="122" ht="16.5" customHeight="1">
      <c r="B122" s="2"/>
      <c r="C122" s="2"/>
    </row>
    <row r="123" ht="16.5" customHeight="1">
      <c r="B123" s="2"/>
      <c r="C123" s="2"/>
    </row>
    <row r="124" ht="16.5" customHeight="1">
      <c r="B124" s="2"/>
      <c r="C124" s="2"/>
    </row>
    <row r="125" ht="16.5" customHeight="1">
      <c r="B125" s="2"/>
      <c r="C125" s="2"/>
    </row>
    <row r="126" ht="16.5" customHeight="1">
      <c r="B126" s="2"/>
      <c r="C126" s="2"/>
    </row>
    <row r="127" ht="16.5" customHeight="1">
      <c r="B127" s="2"/>
      <c r="C127" s="2"/>
    </row>
    <row r="128" ht="16.5" customHeight="1">
      <c r="B128" s="2"/>
      <c r="C128" s="2"/>
    </row>
    <row r="129" ht="16.5" customHeight="1">
      <c r="B129" s="2"/>
      <c r="C129" s="2"/>
    </row>
    <row r="130" ht="16.5" customHeight="1">
      <c r="B130" s="2"/>
      <c r="C130" s="2"/>
    </row>
    <row r="131" ht="16.5" customHeight="1">
      <c r="B131" s="2"/>
      <c r="C131" s="2"/>
    </row>
    <row r="132" ht="16.5" customHeight="1">
      <c r="B132" s="2"/>
      <c r="C132" s="2"/>
    </row>
    <row r="133" ht="16.5" customHeight="1">
      <c r="B133" s="2"/>
      <c r="C133" s="2"/>
    </row>
    <row r="134" ht="16.5" customHeight="1">
      <c r="B134" s="2"/>
      <c r="C134" s="2"/>
    </row>
    <row r="135" ht="16.5" customHeight="1">
      <c r="B135" s="2"/>
      <c r="C135" s="2"/>
    </row>
    <row r="136" ht="16.5" customHeight="1">
      <c r="B136" s="2"/>
      <c r="C136" s="2"/>
    </row>
    <row r="137" ht="16.5" customHeight="1">
      <c r="B137" s="2"/>
      <c r="C137" s="2"/>
    </row>
    <row r="138" ht="16.5" customHeight="1">
      <c r="B138" s="2"/>
      <c r="C138" s="2"/>
    </row>
    <row r="139" ht="16.5" customHeight="1">
      <c r="B139" s="2"/>
      <c r="C139" s="2"/>
    </row>
    <row r="140" ht="16.5" customHeight="1">
      <c r="B140" s="2"/>
      <c r="C140" s="2"/>
    </row>
    <row r="141" ht="16.5" customHeight="1">
      <c r="B141" s="2"/>
      <c r="C141" s="2"/>
    </row>
    <row r="142" ht="16.5" customHeight="1">
      <c r="B142" s="2"/>
      <c r="C142" s="2"/>
    </row>
    <row r="143" ht="16.5" customHeight="1">
      <c r="B143" s="2"/>
      <c r="C143" s="2"/>
    </row>
    <row r="144" ht="16.5" customHeight="1">
      <c r="B144" s="2"/>
      <c r="C144" s="2"/>
    </row>
    <row r="145" ht="16.5" customHeight="1">
      <c r="B145" s="2"/>
      <c r="C145" s="2"/>
    </row>
    <row r="146" ht="16.5" customHeight="1">
      <c r="B146" s="2"/>
      <c r="C146" s="2"/>
    </row>
    <row r="147" ht="16.5" customHeight="1">
      <c r="B147" s="2"/>
      <c r="C147" s="2"/>
    </row>
    <row r="148" ht="16.5" customHeight="1">
      <c r="B148" s="2"/>
      <c r="C148" s="2"/>
    </row>
    <row r="149" ht="16.5" customHeight="1">
      <c r="B149" s="2"/>
      <c r="C149" s="2"/>
    </row>
    <row r="150" ht="16.5" customHeight="1">
      <c r="B150" s="2"/>
      <c r="C150" s="2"/>
    </row>
    <row r="151" ht="16.5" customHeight="1">
      <c r="B151" s="2"/>
      <c r="C151" s="2"/>
    </row>
    <row r="152" ht="16.5" customHeight="1">
      <c r="B152" s="2"/>
      <c r="C152" s="2"/>
    </row>
    <row r="153" ht="16.5" customHeight="1">
      <c r="B153" s="2"/>
      <c r="C153" s="2"/>
    </row>
    <row r="154" ht="16.5" customHeight="1">
      <c r="B154" s="2"/>
      <c r="C154" s="2"/>
    </row>
    <row r="155" ht="16.5" customHeight="1">
      <c r="B155" s="2"/>
      <c r="C155" s="2"/>
    </row>
    <row r="156" ht="16.5" customHeight="1">
      <c r="B156" s="2"/>
      <c r="C156" s="2"/>
    </row>
    <row r="157" ht="16.5" customHeight="1">
      <c r="B157" s="2"/>
      <c r="C157" s="2"/>
    </row>
    <row r="158" ht="16.5" customHeight="1">
      <c r="B158" s="2"/>
      <c r="C158" s="2"/>
    </row>
    <row r="159" ht="16.5" customHeight="1">
      <c r="B159" s="2"/>
      <c r="C159" s="2"/>
    </row>
    <row r="160" ht="16.5" customHeight="1">
      <c r="B160" s="2"/>
      <c r="C160" s="2"/>
    </row>
    <row r="161" ht="16.5" customHeight="1">
      <c r="B161" s="2"/>
      <c r="C161" s="2"/>
    </row>
    <row r="162" ht="16.5" customHeight="1">
      <c r="B162" s="2"/>
      <c r="C162" s="2"/>
    </row>
    <row r="163" ht="16.5" customHeight="1">
      <c r="B163" s="2"/>
      <c r="C163" s="2"/>
    </row>
    <row r="164" ht="16.5" customHeight="1">
      <c r="B164" s="2"/>
      <c r="C164" s="2"/>
    </row>
    <row r="165" ht="16.5" customHeight="1">
      <c r="B165" s="2"/>
      <c r="C165" s="2"/>
    </row>
    <row r="166" ht="16.5" customHeight="1">
      <c r="B166" s="2"/>
      <c r="C166" s="2"/>
    </row>
    <row r="167" ht="16.5" customHeight="1">
      <c r="B167" s="2"/>
      <c r="C167" s="2"/>
    </row>
    <row r="168" ht="16.5" customHeight="1">
      <c r="B168" s="2"/>
      <c r="C168" s="2"/>
    </row>
    <row r="169" ht="16.5" customHeight="1">
      <c r="B169" s="2"/>
      <c r="C169" s="2"/>
    </row>
    <row r="170" ht="16.5" customHeight="1">
      <c r="B170" s="2"/>
      <c r="C170" s="2"/>
    </row>
    <row r="171" ht="16.5" customHeight="1">
      <c r="B171" s="2"/>
      <c r="C171" s="2"/>
    </row>
    <row r="172" ht="16.5" customHeight="1">
      <c r="B172" s="2"/>
      <c r="C172" s="2"/>
    </row>
    <row r="173" ht="16.5" customHeight="1">
      <c r="B173" s="2"/>
      <c r="C173" s="2"/>
    </row>
    <row r="174" ht="16.5" customHeight="1">
      <c r="B174" s="2"/>
      <c r="C174" s="2"/>
    </row>
    <row r="175" ht="16.5" customHeight="1">
      <c r="B175" s="2"/>
      <c r="C175" s="2"/>
    </row>
    <row r="176" ht="16.5" customHeight="1">
      <c r="B176" s="2"/>
      <c r="C176" s="2"/>
    </row>
    <row r="177" ht="16.5" customHeight="1">
      <c r="B177" s="2"/>
      <c r="C177" s="2"/>
    </row>
    <row r="178" ht="16.5" customHeight="1">
      <c r="B178" s="2"/>
      <c r="C178" s="2"/>
    </row>
    <row r="179" ht="16.5" customHeight="1">
      <c r="B179" s="2"/>
      <c r="C179" s="2"/>
    </row>
    <row r="180" ht="16.5" customHeight="1">
      <c r="B180" s="2"/>
      <c r="C180" s="2"/>
    </row>
    <row r="181" ht="16.5" customHeight="1">
      <c r="B181" s="2"/>
      <c r="C181" s="2"/>
    </row>
    <row r="182" ht="16.5" customHeight="1">
      <c r="B182" s="2"/>
      <c r="C182" s="2"/>
    </row>
    <row r="183" ht="16.5" customHeight="1">
      <c r="B183" s="2"/>
      <c r="C183" s="2"/>
    </row>
    <row r="184" ht="16.5" customHeight="1">
      <c r="B184" s="2"/>
      <c r="C184" s="2"/>
    </row>
    <row r="185" ht="16.5" customHeight="1">
      <c r="B185" s="2"/>
      <c r="C185" s="2"/>
    </row>
    <row r="186" ht="16.5" customHeight="1">
      <c r="B186" s="2"/>
      <c r="C186" s="2"/>
    </row>
    <row r="187" ht="16.5" customHeight="1">
      <c r="B187" s="2"/>
      <c r="C187" s="2"/>
    </row>
    <row r="188" ht="16.5" customHeight="1">
      <c r="B188" s="2"/>
      <c r="C188" s="2"/>
    </row>
    <row r="189" ht="16.5" customHeight="1">
      <c r="B189" s="2"/>
      <c r="C189" s="2"/>
    </row>
    <row r="190" ht="16.5" customHeight="1">
      <c r="B190" s="2"/>
      <c r="C190" s="2"/>
    </row>
    <row r="191" ht="16.5" customHeight="1">
      <c r="B191" s="2"/>
      <c r="C191" s="2"/>
    </row>
    <row r="192" ht="16.5" customHeight="1">
      <c r="B192" s="2"/>
      <c r="C192" s="2"/>
    </row>
    <row r="193" ht="16.5" customHeight="1">
      <c r="B193" s="2"/>
      <c r="C193" s="2"/>
    </row>
    <row r="194" ht="16.5" customHeight="1">
      <c r="B194" s="2"/>
      <c r="C194" s="2"/>
    </row>
    <row r="195" ht="16.5" customHeight="1">
      <c r="B195" s="2"/>
      <c r="C195" s="2"/>
    </row>
    <row r="196" ht="16.5" customHeight="1">
      <c r="B196" s="2"/>
      <c r="C196" s="2"/>
    </row>
    <row r="197" ht="16.5" customHeight="1">
      <c r="B197" s="2"/>
      <c r="C197" s="2"/>
    </row>
    <row r="198" ht="16.5" customHeight="1">
      <c r="B198" s="2"/>
      <c r="C198" s="2"/>
    </row>
    <row r="199" ht="16.5" customHeight="1">
      <c r="B199" s="2"/>
      <c r="C199" s="2"/>
    </row>
    <row r="200" ht="16.5" customHeight="1">
      <c r="B200" s="2"/>
      <c r="C200" s="2"/>
    </row>
    <row r="201" ht="16.5" customHeight="1">
      <c r="B201" s="2"/>
      <c r="C201" s="2"/>
    </row>
    <row r="202" ht="16.5" customHeight="1">
      <c r="B202" s="2"/>
      <c r="C202" s="2"/>
    </row>
    <row r="203" ht="16.5" customHeight="1">
      <c r="B203" s="2"/>
      <c r="C203" s="2"/>
    </row>
    <row r="204" ht="16.5" customHeight="1">
      <c r="B204" s="2"/>
      <c r="C204" s="2"/>
    </row>
    <row r="205" ht="16.5" customHeight="1">
      <c r="B205" s="2"/>
      <c r="C205" s="2"/>
    </row>
    <row r="206" ht="16.5" customHeight="1">
      <c r="B206" s="2"/>
      <c r="C206" s="2"/>
    </row>
    <row r="207" ht="16.5" customHeight="1">
      <c r="B207" s="2"/>
      <c r="C207" s="2"/>
    </row>
    <row r="208" ht="16.5" customHeight="1">
      <c r="B208" s="2"/>
      <c r="C208" s="2"/>
    </row>
    <row r="209" ht="16.5" customHeight="1">
      <c r="B209" s="2"/>
      <c r="C209" s="2"/>
    </row>
    <row r="210" ht="16.5" customHeight="1">
      <c r="B210" s="2"/>
      <c r="C210" s="2"/>
    </row>
    <row r="211" ht="16.5" customHeight="1">
      <c r="B211" s="2"/>
      <c r="C211" s="2"/>
    </row>
    <row r="212" ht="16.5" customHeight="1">
      <c r="B212" s="2"/>
      <c r="C212" s="2"/>
    </row>
    <row r="213" ht="16.5" customHeight="1">
      <c r="B213" s="2"/>
      <c r="C213" s="2"/>
    </row>
    <row r="214" ht="16.5" customHeight="1">
      <c r="B214" s="2"/>
      <c r="C214" s="2"/>
    </row>
    <row r="215" ht="16.5" customHeight="1">
      <c r="B215" s="2"/>
      <c r="C215" s="2"/>
    </row>
    <row r="216" ht="16.5" customHeight="1">
      <c r="B216" s="2"/>
      <c r="C216" s="2"/>
    </row>
    <row r="217" ht="16.5" customHeight="1">
      <c r="B217" s="2"/>
      <c r="C217" s="2"/>
    </row>
    <row r="218" ht="16.5" customHeight="1">
      <c r="B218" s="2"/>
      <c r="C218" s="2"/>
    </row>
    <row r="219" ht="16.5" customHeight="1">
      <c r="B219" s="2"/>
      <c r="C219" s="2"/>
    </row>
    <row r="220" ht="16.5" customHeight="1">
      <c r="B220" s="2"/>
      <c r="C220" s="2"/>
    </row>
    <row r="221" ht="16.5" customHeight="1">
      <c r="B221" s="2"/>
      <c r="C221" s="2"/>
    </row>
    <row r="222" ht="16.5" customHeight="1">
      <c r="B222" s="2"/>
      <c r="C222" s="2"/>
    </row>
    <row r="223" ht="16.5" customHeight="1">
      <c r="B223" s="2"/>
      <c r="C223" s="2"/>
    </row>
    <row r="224" ht="16.5" customHeight="1">
      <c r="B224" s="2"/>
      <c r="C224" s="2"/>
    </row>
    <row r="225" ht="16.5" customHeight="1">
      <c r="B225" s="2"/>
      <c r="C225" s="2"/>
    </row>
    <row r="226" ht="16.5" customHeight="1">
      <c r="B226" s="2"/>
      <c r="C226" s="2"/>
    </row>
    <row r="227" ht="16.5" customHeight="1">
      <c r="B227" s="2"/>
      <c r="C227" s="2"/>
    </row>
    <row r="228" ht="16.5" customHeight="1">
      <c r="B228" s="2"/>
      <c r="C228" s="2"/>
    </row>
    <row r="229" ht="16.5" customHeight="1">
      <c r="B229" s="2"/>
      <c r="C229" s="2"/>
    </row>
    <row r="230" ht="16.5" customHeight="1">
      <c r="B230" s="2"/>
      <c r="C230" s="2"/>
    </row>
    <row r="231" ht="16.5" customHeight="1">
      <c r="B231" s="2"/>
      <c r="C231" s="2"/>
    </row>
    <row r="232" ht="16.5" customHeight="1">
      <c r="B232" s="2"/>
      <c r="C232" s="2"/>
    </row>
    <row r="233" ht="16.5" customHeight="1">
      <c r="B233" s="2"/>
      <c r="C233" s="2"/>
    </row>
    <row r="234" ht="16.5" customHeight="1">
      <c r="B234" s="2"/>
      <c r="C234" s="2"/>
    </row>
    <row r="235" ht="16.5" customHeight="1">
      <c r="B235" s="2"/>
      <c r="C235" s="2"/>
    </row>
    <row r="236" ht="16.5" customHeight="1">
      <c r="B236" s="2"/>
      <c r="C236" s="2"/>
    </row>
    <row r="237" ht="16.5" customHeight="1">
      <c r="B237" s="2"/>
      <c r="C237" s="2"/>
    </row>
    <row r="238" ht="16.5" customHeight="1">
      <c r="B238" s="2"/>
      <c r="C238" s="2"/>
    </row>
    <row r="239" ht="16.5" customHeight="1">
      <c r="B239" s="2"/>
      <c r="C239" s="2"/>
    </row>
    <row r="240" ht="16.5" customHeight="1">
      <c r="B240" s="2"/>
      <c r="C240" s="2"/>
    </row>
    <row r="241" ht="16.5" customHeight="1">
      <c r="B241" s="2"/>
      <c r="C241" s="2"/>
    </row>
    <row r="242" ht="16.5" customHeight="1">
      <c r="B242" s="2"/>
      <c r="C242" s="2"/>
    </row>
    <row r="243" ht="16.5" customHeight="1">
      <c r="B243" s="2"/>
      <c r="C243" s="2"/>
    </row>
    <row r="244" ht="16.5" customHeight="1">
      <c r="B244" s="2"/>
      <c r="C244" s="2"/>
    </row>
    <row r="245" ht="16.5" customHeight="1">
      <c r="B245" s="2"/>
      <c r="C245" s="2"/>
    </row>
    <row r="246" ht="16.5" customHeight="1">
      <c r="B246" s="2"/>
      <c r="C246" s="2"/>
    </row>
    <row r="247" ht="16.5" customHeight="1">
      <c r="B247" s="2"/>
      <c r="C247" s="2"/>
    </row>
    <row r="248" ht="16.5" customHeight="1">
      <c r="B248" s="2"/>
      <c r="C248" s="2"/>
    </row>
    <row r="249" ht="16.5" customHeight="1">
      <c r="B249" s="2"/>
      <c r="C249" s="2"/>
    </row>
    <row r="250" ht="16.5" customHeight="1">
      <c r="B250" s="2"/>
      <c r="C250" s="2"/>
    </row>
    <row r="251" ht="16.5" customHeight="1">
      <c r="B251" s="2"/>
      <c r="C251" s="2"/>
    </row>
    <row r="252" ht="16.5" customHeight="1">
      <c r="B252" s="2"/>
      <c r="C252" s="2"/>
    </row>
    <row r="253" ht="16.5" customHeight="1">
      <c r="B253" s="2"/>
      <c r="C253" s="2"/>
    </row>
    <row r="254" ht="16.5" customHeight="1">
      <c r="B254" s="2"/>
      <c r="C254" s="2"/>
    </row>
    <row r="255" ht="16.5" customHeight="1">
      <c r="B255" s="2"/>
      <c r="C255" s="2"/>
    </row>
    <row r="256" ht="16.5" customHeight="1">
      <c r="B256" s="2"/>
      <c r="C256" s="2"/>
    </row>
    <row r="257" ht="16.5" customHeight="1">
      <c r="B257" s="2"/>
      <c r="C257" s="2"/>
    </row>
    <row r="258" ht="16.5" customHeight="1">
      <c r="B258" s="2"/>
      <c r="C258" s="2"/>
    </row>
    <row r="259" ht="16.5" customHeight="1">
      <c r="B259" s="2"/>
      <c r="C259" s="2"/>
    </row>
    <row r="260" ht="16.5" customHeight="1">
      <c r="B260" s="2"/>
      <c r="C260" s="2"/>
    </row>
    <row r="261" ht="16.5" customHeight="1">
      <c r="B261" s="2"/>
      <c r="C261" s="2"/>
    </row>
    <row r="262" ht="16.5" customHeight="1">
      <c r="B262" s="2"/>
      <c r="C262" s="2"/>
    </row>
    <row r="263" ht="16.5" customHeight="1">
      <c r="B263" s="2"/>
      <c r="C263" s="2"/>
    </row>
    <row r="264" ht="16.5" customHeight="1">
      <c r="B264" s="2"/>
      <c r="C264" s="2"/>
    </row>
    <row r="265" ht="16.5" customHeight="1">
      <c r="B265" s="2"/>
      <c r="C265" s="2"/>
    </row>
    <row r="266" ht="16.5" customHeight="1">
      <c r="B266" s="2"/>
      <c r="C266" s="2"/>
    </row>
    <row r="267" ht="16.5" customHeight="1">
      <c r="B267" s="2"/>
      <c r="C267" s="2"/>
    </row>
    <row r="268" ht="16.5" customHeight="1">
      <c r="B268" s="2"/>
      <c r="C268" s="2"/>
    </row>
    <row r="269" ht="16.5" customHeight="1">
      <c r="B269" s="2"/>
      <c r="C269" s="2"/>
    </row>
    <row r="270" ht="16.5" customHeight="1">
      <c r="B270" s="2"/>
      <c r="C270" s="2"/>
    </row>
    <row r="271" ht="16.5" customHeight="1">
      <c r="B271" s="2"/>
      <c r="C271" s="2"/>
    </row>
    <row r="272" ht="16.5" customHeight="1">
      <c r="B272" s="2"/>
      <c r="C272" s="2"/>
    </row>
    <row r="273" ht="16.5" customHeight="1">
      <c r="B273" s="2"/>
      <c r="C273" s="2"/>
    </row>
    <row r="274" ht="16.5" customHeight="1">
      <c r="B274" s="2"/>
      <c r="C274" s="2"/>
    </row>
    <row r="275" ht="16.5" customHeight="1">
      <c r="B275" s="2"/>
      <c r="C275" s="2"/>
    </row>
    <row r="276" ht="16.5" customHeight="1">
      <c r="B276" s="2"/>
      <c r="C276" s="2"/>
    </row>
    <row r="277" ht="16.5" customHeight="1">
      <c r="B277" s="2"/>
      <c r="C277" s="2"/>
    </row>
    <row r="278" ht="16.5" customHeight="1">
      <c r="B278" s="2"/>
      <c r="C278" s="2"/>
    </row>
    <row r="279" ht="16.5" customHeight="1">
      <c r="B279" s="2"/>
      <c r="C279" s="2"/>
    </row>
    <row r="280" ht="16.5" customHeight="1">
      <c r="B280" s="2"/>
      <c r="C280" s="2"/>
    </row>
    <row r="281" ht="16.5" customHeight="1">
      <c r="B281" s="2"/>
      <c r="C281" s="2"/>
    </row>
    <row r="282" ht="16.5" customHeight="1">
      <c r="B282" s="2"/>
      <c r="C282" s="2"/>
    </row>
    <row r="283" ht="16.5" customHeight="1">
      <c r="B283" s="2"/>
      <c r="C283" s="2"/>
    </row>
    <row r="284" ht="16.5" customHeight="1">
      <c r="B284" s="2"/>
      <c r="C284" s="2"/>
    </row>
    <row r="285" ht="16.5" customHeight="1">
      <c r="B285" s="2"/>
      <c r="C285" s="2"/>
    </row>
    <row r="286" ht="16.5" customHeight="1">
      <c r="B286" s="2"/>
      <c r="C286" s="2"/>
    </row>
    <row r="287" ht="16.5" customHeight="1">
      <c r="B287" s="2"/>
      <c r="C287" s="2"/>
    </row>
    <row r="288" ht="16.5" customHeight="1">
      <c r="B288" s="2"/>
      <c r="C288" s="2"/>
    </row>
    <row r="289" ht="16.5" customHeight="1">
      <c r="B289" s="2"/>
      <c r="C289" s="2"/>
    </row>
    <row r="290" ht="16.5" customHeight="1">
      <c r="B290" s="2"/>
      <c r="C290" s="2"/>
    </row>
    <row r="291" ht="16.5" customHeight="1">
      <c r="B291" s="2"/>
      <c r="C291" s="2"/>
    </row>
    <row r="292" ht="16.5" customHeight="1">
      <c r="B292" s="2"/>
      <c r="C292" s="2"/>
    </row>
    <row r="293" ht="16.5" customHeight="1">
      <c r="B293" s="2"/>
      <c r="C293" s="2"/>
    </row>
    <row r="294" ht="16.5" customHeight="1">
      <c r="B294" s="2"/>
      <c r="C294" s="2"/>
    </row>
    <row r="295" ht="16.5" customHeight="1">
      <c r="B295" s="2"/>
      <c r="C295" s="2"/>
    </row>
    <row r="296" ht="16.5" customHeight="1">
      <c r="B296" s="2"/>
      <c r="C296" s="2"/>
    </row>
    <row r="297" ht="16.5" customHeight="1">
      <c r="B297" s="2"/>
      <c r="C297" s="2"/>
    </row>
    <row r="298" ht="16.5" customHeight="1">
      <c r="B298" s="2"/>
      <c r="C298" s="2"/>
    </row>
    <row r="299" ht="16.5" customHeight="1">
      <c r="B299" s="2"/>
      <c r="C299" s="2"/>
    </row>
    <row r="300" ht="16.5" customHeight="1">
      <c r="B300" s="2"/>
      <c r="C300" s="2"/>
    </row>
    <row r="301" ht="16.5" customHeight="1">
      <c r="B301" s="2"/>
      <c r="C301" s="2"/>
    </row>
    <row r="302" ht="16.5" customHeight="1">
      <c r="B302" s="2"/>
      <c r="C302" s="2"/>
    </row>
    <row r="303" ht="16.5" customHeight="1">
      <c r="B303" s="2"/>
      <c r="C303" s="2"/>
    </row>
    <row r="304" ht="16.5" customHeight="1">
      <c r="B304" s="2"/>
      <c r="C304" s="2"/>
    </row>
    <row r="305" ht="16.5" customHeight="1">
      <c r="B305" s="2"/>
      <c r="C305" s="2"/>
    </row>
    <row r="306" ht="16.5" customHeight="1">
      <c r="B306" s="2"/>
      <c r="C306" s="2"/>
    </row>
    <row r="307" ht="16.5" customHeight="1">
      <c r="B307" s="2"/>
      <c r="C307" s="2"/>
    </row>
    <row r="308" ht="16.5" customHeight="1">
      <c r="B308" s="2"/>
      <c r="C308" s="2"/>
    </row>
    <row r="309" ht="16.5" customHeight="1">
      <c r="B309" s="2"/>
      <c r="C309" s="2"/>
    </row>
    <row r="310" ht="16.5" customHeight="1">
      <c r="B310" s="2"/>
      <c r="C310" s="2"/>
    </row>
    <row r="311" ht="16.5" customHeight="1">
      <c r="B311" s="2"/>
      <c r="C311" s="2"/>
    </row>
    <row r="312" ht="16.5" customHeight="1">
      <c r="B312" s="2"/>
      <c r="C312" s="2"/>
    </row>
    <row r="313" ht="16.5" customHeight="1">
      <c r="B313" s="2"/>
      <c r="C313" s="2"/>
    </row>
    <row r="314" ht="16.5" customHeight="1">
      <c r="B314" s="2"/>
      <c r="C314" s="2"/>
    </row>
    <row r="315" ht="16.5" customHeight="1">
      <c r="B315" s="2"/>
      <c r="C315" s="2"/>
    </row>
    <row r="316" ht="16.5" customHeight="1">
      <c r="B316" s="2"/>
      <c r="C316" s="2"/>
    </row>
    <row r="317" ht="16.5" customHeight="1">
      <c r="B317" s="2"/>
      <c r="C317" s="2"/>
    </row>
    <row r="318" ht="16.5" customHeight="1">
      <c r="B318" s="2"/>
      <c r="C318" s="2"/>
    </row>
    <row r="319" ht="16.5" customHeight="1">
      <c r="B319" s="2"/>
      <c r="C319" s="2"/>
    </row>
    <row r="320" ht="16.5" customHeight="1">
      <c r="B320" s="2"/>
      <c r="C320" s="2"/>
    </row>
    <row r="321" ht="16.5" customHeight="1">
      <c r="B321" s="2"/>
      <c r="C321" s="2"/>
    </row>
    <row r="322" ht="16.5" customHeight="1">
      <c r="B322" s="2"/>
      <c r="C322" s="2"/>
    </row>
    <row r="323" ht="16.5" customHeight="1">
      <c r="B323" s="2"/>
      <c r="C323" s="2"/>
    </row>
    <row r="324" ht="16.5" customHeight="1">
      <c r="B324" s="2"/>
      <c r="C324" s="2"/>
    </row>
    <row r="325" ht="16.5" customHeight="1">
      <c r="B325" s="2"/>
      <c r="C325" s="2"/>
    </row>
    <row r="326" ht="16.5" customHeight="1">
      <c r="B326" s="2"/>
      <c r="C326" s="2"/>
    </row>
    <row r="327" ht="16.5" customHeight="1">
      <c r="B327" s="2"/>
      <c r="C327" s="2"/>
    </row>
    <row r="328" ht="16.5" customHeight="1">
      <c r="B328" s="2"/>
      <c r="C328" s="2"/>
    </row>
    <row r="329" ht="16.5" customHeight="1">
      <c r="B329" s="2"/>
      <c r="C329" s="2"/>
    </row>
    <row r="330" ht="16.5" customHeight="1">
      <c r="B330" s="2"/>
      <c r="C330" s="2"/>
    </row>
    <row r="331" ht="16.5" customHeight="1">
      <c r="B331" s="2"/>
      <c r="C331" s="2"/>
    </row>
    <row r="332" ht="16.5" customHeight="1">
      <c r="B332" s="2"/>
      <c r="C332" s="2"/>
    </row>
    <row r="333" ht="16.5" customHeight="1">
      <c r="B333" s="2"/>
      <c r="C333" s="2"/>
    </row>
    <row r="334" ht="16.5" customHeight="1">
      <c r="B334" s="2"/>
      <c r="C334" s="2"/>
    </row>
    <row r="335" ht="16.5" customHeight="1">
      <c r="B335" s="2"/>
      <c r="C335" s="2"/>
    </row>
    <row r="336" ht="16.5" customHeight="1">
      <c r="B336" s="2"/>
      <c r="C336" s="2"/>
    </row>
    <row r="337" ht="16.5" customHeight="1">
      <c r="B337" s="2"/>
      <c r="C337" s="2"/>
    </row>
    <row r="338" ht="16.5" customHeight="1">
      <c r="B338" s="2"/>
      <c r="C338" s="2"/>
    </row>
    <row r="339" ht="16.5" customHeight="1">
      <c r="B339" s="2"/>
      <c r="C339" s="2"/>
    </row>
    <row r="340" ht="16.5" customHeight="1">
      <c r="B340" s="2"/>
      <c r="C340" s="2"/>
    </row>
    <row r="341" ht="16.5" customHeight="1">
      <c r="B341" s="2"/>
      <c r="C341" s="2"/>
    </row>
    <row r="342" ht="16.5" customHeight="1">
      <c r="B342" s="2"/>
      <c r="C342" s="2"/>
    </row>
    <row r="343" ht="16.5" customHeight="1">
      <c r="B343" s="2"/>
      <c r="C343" s="2"/>
    </row>
    <row r="344" ht="16.5" customHeight="1">
      <c r="B344" s="2"/>
      <c r="C344" s="2"/>
    </row>
    <row r="345" ht="16.5" customHeight="1">
      <c r="B345" s="2"/>
      <c r="C345" s="2"/>
    </row>
    <row r="346" ht="16.5" customHeight="1">
      <c r="B346" s="2"/>
      <c r="C346" s="2"/>
    </row>
    <row r="347" ht="16.5" customHeight="1">
      <c r="B347" s="2"/>
      <c r="C347" s="2"/>
    </row>
    <row r="348" ht="16.5" customHeight="1">
      <c r="B348" s="2"/>
      <c r="C348" s="2"/>
    </row>
    <row r="349" ht="16.5" customHeight="1">
      <c r="B349" s="2"/>
      <c r="C349" s="2"/>
    </row>
    <row r="350" ht="16.5" customHeight="1">
      <c r="B350" s="2"/>
      <c r="C350" s="2"/>
    </row>
    <row r="351" ht="16.5" customHeight="1">
      <c r="B351" s="2"/>
      <c r="C351" s="2"/>
    </row>
    <row r="352" ht="16.5" customHeight="1">
      <c r="B352" s="2"/>
      <c r="C352" s="2"/>
    </row>
    <row r="353" ht="16.5" customHeight="1">
      <c r="B353" s="2"/>
      <c r="C353" s="2"/>
    </row>
    <row r="354" ht="16.5" customHeight="1">
      <c r="B354" s="2"/>
      <c r="C354" s="2"/>
    </row>
    <row r="355" ht="16.5" customHeight="1">
      <c r="B355" s="2"/>
      <c r="C355" s="2"/>
    </row>
    <row r="356" ht="16.5" customHeight="1">
      <c r="B356" s="2"/>
      <c r="C356" s="2"/>
    </row>
    <row r="357" ht="16.5" customHeight="1">
      <c r="B357" s="2"/>
      <c r="C357" s="2"/>
    </row>
    <row r="358" ht="16.5" customHeight="1">
      <c r="B358" s="2"/>
      <c r="C358" s="2"/>
    </row>
    <row r="359" ht="16.5" customHeight="1">
      <c r="B359" s="2"/>
      <c r="C359" s="2"/>
    </row>
    <row r="360" ht="16.5" customHeight="1">
      <c r="B360" s="2"/>
      <c r="C360" s="2"/>
    </row>
    <row r="361" ht="16.5" customHeight="1">
      <c r="B361" s="2"/>
      <c r="C361" s="2"/>
    </row>
    <row r="362" ht="16.5" customHeight="1">
      <c r="B362" s="2"/>
      <c r="C362" s="2"/>
    </row>
    <row r="363" ht="16.5" customHeight="1">
      <c r="B363" s="2"/>
      <c r="C363" s="2"/>
    </row>
    <row r="364" ht="16.5" customHeight="1">
      <c r="B364" s="2"/>
      <c r="C364" s="2"/>
    </row>
    <row r="365" ht="16.5" customHeight="1">
      <c r="B365" s="2"/>
      <c r="C365" s="2"/>
    </row>
    <row r="366" ht="16.5" customHeight="1">
      <c r="B366" s="2"/>
      <c r="C366" s="2"/>
    </row>
    <row r="367" ht="16.5" customHeight="1">
      <c r="B367" s="2"/>
      <c r="C367" s="2"/>
    </row>
    <row r="368" ht="16.5" customHeight="1">
      <c r="B368" s="2"/>
      <c r="C368" s="2"/>
    </row>
    <row r="369" ht="16.5" customHeight="1">
      <c r="B369" s="2"/>
      <c r="C369" s="2"/>
    </row>
    <row r="370" ht="16.5" customHeight="1">
      <c r="B370" s="2"/>
      <c r="C370" s="2"/>
    </row>
    <row r="371" ht="16.5" customHeight="1">
      <c r="B371" s="2"/>
      <c r="C371" s="2"/>
    </row>
    <row r="372" ht="16.5" customHeight="1">
      <c r="B372" s="2"/>
      <c r="C372" s="2"/>
    </row>
    <row r="373" ht="16.5" customHeight="1">
      <c r="B373" s="2"/>
      <c r="C373" s="2"/>
    </row>
    <row r="374" ht="16.5" customHeight="1">
      <c r="B374" s="2"/>
      <c r="C374" s="2"/>
    </row>
    <row r="375" ht="16.5" customHeight="1">
      <c r="B375" s="2"/>
      <c r="C375" s="2"/>
    </row>
    <row r="376" ht="16.5" customHeight="1">
      <c r="B376" s="2"/>
      <c r="C376" s="2"/>
    </row>
    <row r="377" ht="16.5" customHeight="1">
      <c r="B377" s="2"/>
      <c r="C377" s="2"/>
    </row>
    <row r="378" ht="16.5" customHeight="1">
      <c r="B378" s="2"/>
      <c r="C378" s="2"/>
    </row>
    <row r="379" ht="16.5" customHeight="1">
      <c r="B379" s="2"/>
      <c r="C379" s="2"/>
    </row>
    <row r="380" ht="16.5" customHeight="1">
      <c r="B380" s="2"/>
      <c r="C380" s="2"/>
    </row>
    <row r="381" ht="16.5" customHeight="1">
      <c r="B381" s="2"/>
      <c r="C381" s="2"/>
    </row>
    <row r="382" ht="16.5" customHeight="1">
      <c r="B382" s="2"/>
      <c r="C382" s="2"/>
    </row>
    <row r="383" ht="16.5" customHeight="1">
      <c r="B383" s="2"/>
      <c r="C383" s="2"/>
    </row>
    <row r="384" ht="16.5" customHeight="1">
      <c r="B384" s="2"/>
      <c r="C384" s="2"/>
    </row>
    <row r="385" ht="16.5" customHeight="1">
      <c r="B385" s="2"/>
      <c r="C385" s="2"/>
    </row>
    <row r="386" ht="16.5" customHeight="1">
      <c r="B386" s="2"/>
      <c r="C386" s="2"/>
    </row>
    <row r="387" ht="16.5" customHeight="1">
      <c r="B387" s="2"/>
      <c r="C387" s="2"/>
    </row>
    <row r="388" ht="16.5" customHeight="1">
      <c r="B388" s="2"/>
      <c r="C388" s="2"/>
    </row>
    <row r="389" ht="16.5" customHeight="1">
      <c r="B389" s="2"/>
      <c r="C389" s="2"/>
    </row>
    <row r="390" ht="16.5" customHeight="1">
      <c r="B390" s="2"/>
      <c r="C390" s="2"/>
    </row>
    <row r="391" ht="16.5" customHeight="1">
      <c r="B391" s="2"/>
      <c r="C391" s="2"/>
    </row>
    <row r="392" ht="16.5" customHeight="1">
      <c r="B392" s="2"/>
      <c r="C392" s="2"/>
    </row>
    <row r="393" ht="16.5" customHeight="1">
      <c r="B393" s="2"/>
      <c r="C393" s="2"/>
    </row>
    <row r="394" ht="16.5" customHeight="1">
      <c r="B394" s="2"/>
      <c r="C394" s="2"/>
    </row>
    <row r="395" ht="16.5" customHeight="1">
      <c r="B395" s="2"/>
      <c r="C395" s="2"/>
    </row>
    <row r="396" ht="16.5" customHeight="1">
      <c r="B396" s="2"/>
      <c r="C396" s="2"/>
    </row>
    <row r="397" ht="16.5" customHeight="1">
      <c r="B397" s="2"/>
      <c r="C397" s="2"/>
    </row>
    <row r="398" ht="16.5" customHeight="1">
      <c r="B398" s="2"/>
      <c r="C398" s="2"/>
    </row>
    <row r="399" ht="16.5" customHeight="1">
      <c r="B399" s="2"/>
      <c r="C399" s="2"/>
    </row>
    <row r="400" ht="16.5" customHeight="1">
      <c r="B400" s="2"/>
      <c r="C400" s="2"/>
    </row>
    <row r="401" ht="16.5" customHeight="1">
      <c r="B401" s="2"/>
      <c r="C401" s="2"/>
    </row>
    <row r="402" ht="16.5" customHeight="1">
      <c r="B402" s="2"/>
      <c r="C402" s="2"/>
    </row>
    <row r="403" ht="16.5" customHeight="1">
      <c r="B403" s="2"/>
      <c r="C403" s="2"/>
    </row>
    <row r="404" ht="16.5" customHeight="1">
      <c r="B404" s="2"/>
      <c r="C404" s="2"/>
    </row>
    <row r="405" ht="16.5" customHeight="1">
      <c r="B405" s="2"/>
      <c r="C405" s="2"/>
    </row>
    <row r="406" ht="16.5" customHeight="1">
      <c r="B406" s="2"/>
      <c r="C406" s="2"/>
    </row>
    <row r="407" ht="16.5" customHeight="1">
      <c r="B407" s="2"/>
      <c r="C407" s="2"/>
    </row>
    <row r="408" ht="16.5" customHeight="1">
      <c r="B408" s="2"/>
      <c r="C408" s="2"/>
    </row>
    <row r="409" ht="16.5" customHeight="1">
      <c r="B409" s="2"/>
      <c r="C409" s="2"/>
    </row>
    <row r="410" ht="16.5" customHeight="1">
      <c r="B410" s="2"/>
      <c r="C410" s="2"/>
    </row>
    <row r="411" ht="16.5" customHeight="1">
      <c r="B411" s="2"/>
      <c r="C411" s="2"/>
    </row>
    <row r="412" ht="16.5" customHeight="1">
      <c r="B412" s="2"/>
      <c r="C412" s="2"/>
    </row>
    <row r="413" ht="16.5" customHeight="1">
      <c r="B413" s="2"/>
      <c r="C413" s="2"/>
    </row>
    <row r="414" ht="16.5" customHeight="1">
      <c r="B414" s="2"/>
      <c r="C414" s="2"/>
    </row>
    <row r="415" ht="16.5" customHeight="1">
      <c r="B415" s="2"/>
      <c r="C415" s="2"/>
    </row>
    <row r="416" ht="16.5" customHeight="1">
      <c r="B416" s="2"/>
      <c r="C416" s="2"/>
    </row>
    <row r="417" ht="16.5" customHeight="1">
      <c r="B417" s="2"/>
      <c r="C417" s="2"/>
    </row>
    <row r="418" ht="16.5" customHeight="1">
      <c r="B418" s="2"/>
      <c r="C418" s="2"/>
    </row>
    <row r="419" ht="16.5" customHeight="1">
      <c r="B419" s="2"/>
      <c r="C419" s="2"/>
    </row>
    <row r="420" ht="16.5" customHeight="1">
      <c r="B420" s="2"/>
      <c r="C420" s="2"/>
    </row>
    <row r="421" ht="16.5" customHeight="1">
      <c r="B421" s="2"/>
      <c r="C421" s="2"/>
    </row>
    <row r="422" ht="16.5" customHeight="1">
      <c r="B422" s="2"/>
      <c r="C422" s="2"/>
    </row>
    <row r="423" ht="16.5" customHeight="1">
      <c r="B423" s="2"/>
      <c r="C423" s="2"/>
    </row>
    <row r="424" ht="16.5" customHeight="1">
      <c r="B424" s="2"/>
      <c r="C424" s="2"/>
    </row>
    <row r="425" ht="16.5" customHeight="1">
      <c r="B425" s="2"/>
      <c r="C425" s="2"/>
    </row>
    <row r="426" ht="16.5" customHeight="1">
      <c r="B426" s="2"/>
      <c r="C426" s="2"/>
    </row>
    <row r="427" ht="16.5" customHeight="1">
      <c r="B427" s="2"/>
      <c r="C427" s="2"/>
    </row>
    <row r="428" ht="16.5" customHeight="1">
      <c r="B428" s="2"/>
      <c r="C428" s="2"/>
    </row>
    <row r="429" ht="16.5" customHeight="1">
      <c r="B429" s="2"/>
      <c r="C429" s="2"/>
    </row>
    <row r="430" ht="16.5" customHeight="1">
      <c r="B430" s="2"/>
      <c r="C430" s="2"/>
    </row>
    <row r="431" ht="16.5" customHeight="1">
      <c r="B431" s="2"/>
      <c r="C431" s="2"/>
    </row>
    <row r="432" ht="16.5" customHeight="1">
      <c r="B432" s="2"/>
      <c r="C432" s="2"/>
    </row>
    <row r="433" ht="16.5" customHeight="1">
      <c r="B433" s="2"/>
      <c r="C433" s="2"/>
    </row>
    <row r="434" ht="16.5" customHeight="1">
      <c r="B434" s="2"/>
      <c r="C434" s="2"/>
    </row>
    <row r="435" ht="16.5" customHeight="1">
      <c r="B435" s="2"/>
      <c r="C435" s="2"/>
    </row>
    <row r="436" ht="16.5" customHeight="1">
      <c r="B436" s="2"/>
      <c r="C436" s="2"/>
    </row>
    <row r="437" ht="16.5" customHeight="1">
      <c r="B437" s="2"/>
      <c r="C437" s="2"/>
    </row>
    <row r="438" ht="16.5" customHeight="1">
      <c r="B438" s="2"/>
      <c r="C438" s="2"/>
    </row>
    <row r="439" ht="16.5" customHeight="1">
      <c r="B439" s="2"/>
      <c r="C439" s="2"/>
    </row>
    <row r="440" ht="16.5" customHeight="1">
      <c r="B440" s="2"/>
      <c r="C440" s="2"/>
    </row>
    <row r="441" ht="16.5" customHeight="1">
      <c r="B441" s="2"/>
      <c r="C441" s="2"/>
    </row>
    <row r="442" ht="16.5" customHeight="1">
      <c r="B442" s="2"/>
      <c r="C442" s="2"/>
    </row>
    <row r="443" ht="16.5" customHeight="1">
      <c r="B443" s="2"/>
      <c r="C443" s="2"/>
    </row>
    <row r="444" ht="16.5" customHeight="1">
      <c r="B444" s="2"/>
      <c r="C444" s="2"/>
    </row>
    <row r="445" ht="16.5" customHeight="1">
      <c r="B445" s="2"/>
      <c r="C445" s="2"/>
    </row>
    <row r="446" ht="16.5" customHeight="1">
      <c r="B446" s="2"/>
      <c r="C446" s="2"/>
    </row>
    <row r="447" ht="16.5" customHeight="1">
      <c r="B447" s="2"/>
      <c r="C447" s="2"/>
    </row>
    <row r="448" ht="16.5" customHeight="1">
      <c r="B448" s="2"/>
      <c r="C448" s="2"/>
    </row>
    <row r="449" ht="16.5" customHeight="1">
      <c r="B449" s="2"/>
      <c r="C449" s="2"/>
    </row>
    <row r="450" ht="16.5" customHeight="1">
      <c r="B450" s="2"/>
      <c r="C450" s="2"/>
    </row>
    <row r="451" ht="16.5" customHeight="1">
      <c r="B451" s="2"/>
      <c r="C451" s="2"/>
    </row>
    <row r="452" ht="16.5" customHeight="1">
      <c r="B452" s="2"/>
      <c r="C452" s="2"/>
    </row>
    <row r="453" ht="16.5" customHeight="1">
      <c r="B453" s="2"/>
      <c r="C453" s="2"/>
    </row>
    <row r="454" ht="16.5" customHeight="1">
      <c r="B454" s="2"/>
      <c r="C454" s="2"/>
    </row>
    <row r="455" ht="16.5" customHeight="1">
      <c r="B455" s="2"/>
      <c r="C455" s="2"/>
    </row>
    <row r="456" ht="16.5" customHeight="1">
      <c r="B456" s="2"/>
      <c r="C456" s="2"/>
    </row>
    <row r="457" ht="16.5" customHeight="1">
      <c r="B457" s="2"/>
      <c r="C457" s="2"/>
    </row>
    <row r="458" ht="16.5" customHeight="1">
      <c r="B458" s="2"/>
      <c r="C458" s="2"/>
    </row>
    <row r="459" ht="16.5" customHeight="1">
      <c r="B459" s="2"/>
      <c r="C459" s="2"/>
    </row>
    <row r="460" ht="16.5" customHeight="1">
      <c r="B460" s="2"/>
      <c r="C460" s="2"/>
    </row>
    <row r="461" ht="16.5" customHeight="1">
      <c r="B461" s="2"/>
      <c r="C461" s="2"/>
    </row>
    <row r="462" ht="16.5" customHeight="1">
      <c r="B462" s="2"/>
      <c r="C462" s="2"/>
    </row>
    <row r="463" ht="16.5" customHeight="1">
      <c r="B463" s="2"/>
      <c r="C463" s="2"/>
    </row>
    <row r="464" ht="16.5" customHeight="1">
      <c r="B464" s="2"/>
      <c r="C464" s="2"/>
    </row>
    <row r="465" ht="16.5" customHeight="1">
      <c r="B465" s="2"/>
      <c r="C465" s="2"/>
    </row>
    <row r="466" ht="16.5" customHeight="1">
      <c r="B466" s="2"/>
      <c r="C466" s="2"/>
    </row>
    <row r="467" ht="16.5" customHeight="1">
      <c r="B467" s="2"/>
      <c r="C467" s="2"/>
    </row>
    <row r="468" ht="16.5" customHeight="1">
      <c r="B468" s="2"/>
      <c r="C468" s="2"/>
    </row>
    <row r="469" ht="16.5" customHeight="1">
      <c r="B469" s="2"/>
      <c r="C469" s="2"/>
    </row>
    <row r="470" ht="16.5" customHeight="1">
      <c r="B470" s="2"/>
      <c r="C470" s="2"/>
    </row>
    <row r="471" ht="16.5" customHeight="1">
      <c r="B471" s="2"/>
      <c r="C471" s="2"/>
    </row>
    <row r="472" ht="16.5" customHeight="1">
      <c r="B472" s="2"/>
      <c r="C472" s="2"/>
    </row>
    <row r="473" ht="16.5" customHeight="1">
      <c r="B473" s="2"/>
      <c r="C473" s="2"/>
    </row>
    <row r="474" ht="16.5" customHeight="1">
      <c r="B474" s="2"/>
      <c r="C474" s="2"/>
    </row>
    <row r="475" ht="16.5" customHeight="1">
      <c r="B475" s="2"/>
      <c r="C475" s="2"/>
    </row>
    <row r="476" ht="16.5" customHeight="1">
      <c r="B476" s="2"/>
      <c r="C476" s="2"/>
    </row>
    <row r="477" ht="16.5" customHeight="1">
      <c r="B477" s="2"/>
      <c r="C477" s="2"/>
    </row>
    <row r="478" ht="16.5" customHeight="1">
      <c r="B478" s="2"/>
      <c r="C478" s="2"/>
    </row>
    <row r="479" ht="16.5" customHeight="1">
      <c r="B479" s="2"/>
      <c r="C479" s="2"/>
    </row>
    <row r="480" ht="16.5" customHeight="1">
      <c r="B480" s="2"/>
      <c r="C480" s="2"/>
    </row>
    <row r="481" ht="16.5" customHeight="1">
      <c r="B481" s="2"/>
      <c r="C481" s="2"/>
    </row>
    <row r="482" ht="16.5" customHeight="1">
      <c r="B482" s="2"/>
      <c r="C482" s="2"/>
    </row>
    <row r="483" ht="16.5" customHeight="1">
      <c r="B483" s="2"/>
      <c r="C483" s="2"/>
    </row>
    <row r="484" ht="16.5" customHeight="1">
      <c r="B484" s="2"/>
      <c r="C484" s="2"/>
    </row>
    <row r="485" ht="16.5" customHeight="1">
      <c r="B485" s="2"/>
      <c r="C485" s="2"/>
    </row>
    <row r="486" ht="16.5" customHeight="1">
      <c r="B486" s="2"/>
      <c r="C486" s="2"/>
    </row>
    <row r="487" ht="16.5" customHeight="1">
      <c r="B487" s="2"/>
      <c r="C487" s="2"/>
    </row>
    <row r="488" ht="16.5" customHeight="1">
      <c r="B488" s="2"/>
      <c r="C488" s="2"/>
    </row>
    <row r="489" ht="16.5" customHeight="1">
      <c r="B489" s="2"/>
      <c r="C489" s="2"/>
    </row>
    <row r="490" ht="16.5" customHeight="1">
      <c r="B490" s="2"/>
      <c r="C490" s="2"/>
    </row>
    <row r="491" ht="16.5" customHeight="1">
      <c r="B491" s="2"/>
      <c r="C491" s="2"/>
    </row>
    <row r="492" ht="16.5" customHeight="1">
      <c r="B492" s="2"/>
      <c r="C492" s="2"/>
    </row>
    <row r="493" ht="16.5" customHeight="1">
      <c r="B493" s="2"/>
      <c r="C493" s="2"/>
    </row>
    <row r="494" ht="16.5" customHeight="1">
      <c r="B494" s="2"/>
      <c r="C494" s="2"/>
    </row>
    <row r="495" ht="16.5" customHeight="1">
      <c r="B495" s="2"/>
      <c r="C495" s="2"/>
    </row>
    <row r="496" ht="16.5" customHeight="1">
      <c r="B496" s="2"/>
      <c r="C496" s="2"/>
    </row>
    <row r="497" ht="16.5" customHeight="1">
      <c r="B497" s="2"/>
      <c r="C497" s="2"/>
    </row>
    <row r="498" ht="16.5" customHeight="1">
      <c r="B498" s="2"/>
      <c r="C498" s="2"/>
    </row>
    <row r="499" ht="16.5" customHeight="1">
      <c r="B499" s="2"/>
      <c r="C499" s="2"/>
    </row>
    <row r="500" ht="16.5" customHeight="1">
      <c r="B500" s="2"/>
      <c r="C500" s="2"/>
    </row>
    <row r="501" ht="16.5" customHeight="1">
      <c r="B501" s="2"/>
      <c r="C501" s="2"/>
    </row>
    <row r="502" ht="16.5" customHeight="1">
      <c r="B502" s="2"/>
      <c r="C502" s="2"/>
    </row>
    <row r="503" ht="16.5" customHeight="1">
      <c r="B503" s="2"/>
      <c r="C503" s="2"/>
    </row>
    <row r="504" ht="16.5" customHeight="1">
      <c r="B504" s="2"/>
      <c r="C504" s="2"/>
    </row>
    <row r="505" ht="16.5" customHeight="1">
      <c r="B505" s="2"/>
      <c r="C505" s="2"/>
    </row>
    <row r="506" ht="16.5" customHeight="1">
      <c r="B506" s="2"/>
      <c r="C506" s="2"/>
    </row>
    <row r="507" ht="16.5" customHeight="1">
      <c r="B507" s="2"/>
      <c r="C507" s="2"/>
    </row>
    <row r="508" ht="16.5" customHeight="1">
      <c r="B508" s="2"/>
      <c r="C508" s="2"/>
    </row>
    <row r="509" ht="16.5" customHeight="1">
      <c r="B509" s="2"/>
      <c r="C509" s="2"/>
    </row>
    <row r="510" ht="16.5" customHeight="1">
      <c r="B510" s="2"/>
      <c r="C510" s="2"/>
    </row>
    <row r="511" ht="16.5" customHeight="1">
      <c r="B511" s="2"/>
      <c r="C511" s="2"/>
    </row>
    <row r="512" ht="16.5" customHeight="1">
      <c r="B512" s="2"/>
      <c r="C512" s="2"/>
    </row>
    <row r="513" ht="16.5" customHeight="1">
      <c r="B513" s="2"/>
      <c r="C513" s="2"/>
    </row>
    <row r="514" ht="16.5" customHeight="1">
      <c r="B514" s="2"/>
      <c r="C514" s="2"/>
    </row>
    <row r="515" ht="16.5" customHeight="1">
      <c r="B515" s="2"/>
      <c r="C515" s="2"/>
    </row>
    <row r="516" ht="16.5" customHeight="1">
      <c r="B516" s="2"/>
      <c r="C516" s="2"/>
    </row>
    <row r="517" ht="16.5" customHeight="1">
      <c r="B517" s="2"/>
      <c r="C517" s="2"/>
    </row>
    <row r="518" ht="16.5" customHeight="1">
      <c r="B518" s="2"/>
      <c r="C518" s="2"/>
    </row>
    <row r="519" ht="16.5" customHeight="1">
      <c r="B519" s="2"/>
      <c r="C519" s="2"/>
    </row>
    <row r="520" ht="16.5" customHeight="1">
      <c r="B520" s="2"/>
      <c r="C520" s="2"/>
    </row>
    <row r="521" ht="16.5" customHeight="1">
      <c r="B521" s="2"/>
      <c r="C521" s="2"/>
    </row>
    <row r="522" ht="16.5" customHeight="1">
      <c r="B522" s="2"/>
      <c r="C522" s="2"/>
    </row>
    <row r="523" ht="16.5" customHeight="1">
      <c r="B523" s="2"/>
      <c r="C523" s="2"/>
    </row>
    <row r="524" ht="16.5" customHeight="1">
      <c r="B524" s="2"/>
      <c r="C524" s="2"/>
    </row>
    <row r="525" ht="16.5" customHeight="1">
      <c r="B525" s="2"/>
      <c r="C525" s="2"/>
    </row>
    <row r="526" ht="16.5" customHeight="1">
      <c r="B526" s="2"/>
      <c r="C526" s="2"/>
    </row>
    <row r="527" ht="16.5" customHeight="1">
      <c r="B527" s="2"/>
      <c r="C527" s="2"/>
    </row>
    <row r="528" ht="16.5" customHeight="1">
      <c r="B528" s="2"/>
      <c r="C528" s="2"/>
    </row>
    <row r="529" ht="16.5" customHeight="1">
      <c r="B529" s="2"/>
      <c r="C529" s="2"/>
    </row>
    <row r="530" ht="16.5" customHeight="1">
      <c r="B530" s="2"/>
      <c r="C530" s="2"/>
    </row>
    <row r="531" ht="16.5" customHeight="1">
      <c r="B531" s="2"/>
      <c r="C531" s="2"/>
    </row>
    <row r="532" ht="16.5" customHeight="1">
      <c r="B532" s="2"/>
      <c r="C532" s="2"/>
    </row>
    <row r="533" ht="16.5" customHeight="1">
      <c r="B533" s="2"/>
      <c r="C533" s="2"/>
    </row>
    <row r="534" ht="16.5" customHeight="1">
      <c r="B534" s="2"/>
      <c r="C534" s="2"/>
    </row>
    <row r="535" ht="16.5" customHeight="1">
      <c r="B535" s="2"/>
      <c r="C535" s="2"/>
    </row>
    <row r="536" ht="16.5" customHeight="1">
      <c r="B536" s="2"/>
      <c r="C536" s="2"/>
    </row>
    <row r="537" ht="16.5" customHeight="1">
      <c r="B537" s="2"/>
      <c r="C537" s="2"/>
    </row>
    <row r="538" ht="16.5" customHeight="1">
      <c r="B538" s="2"/>
      <c r="C538" s="2"/>
    </row>
    <row r="539" ht="16.5" customHeight="1">
      <c r="B539" s="2"/>
      <c r="C539" s="2"/>
    </row>
    <row r="540" ht="16.5" customHeight="1">
      <c r="B540" s="2"/>
      <c r="C540" s="2"/>
    </row>
    <row r="541" ht="16.5" customHeight="1">
      <c r="B541" s="2"/>
      <c r="C541" s="2"/>
    </row>
    <row r="542" ht="16.5" customHeight="1">
      <c r="B542" s="2"/>
      <c r="C542" s="2"/>
    </row>
    <row r="543" ht="16.5" customHeight="1">
      <c r="B543" s="2"/>
      <c r="C543" s="2"/>
    </row>
    <row r="544" ht="16.5" customHeight="1">
      <c r="B544" s="2"/>
      <c r="C544" s="2"/>
    </row>
    <row r="545" ht="16.5" customHeight="1">
      <c r="B545" s="2"/>
      <c r="C545" s="2"/>
    </row>
    <row r="546" ht="16.5" customHeight="1">
      <c r="B546" s="2"/>
      <c r="C546" s="2"/>
    </row>
    <row r="547" ht="16.5" customHeight="1">
      <c r="B547" s="2"/>
      <c r="C547" s="2"/>
    </row>
    <row r="548" ht="16.5" customHeight="1">
      <c r="B548" s="2"/>
      <c r="C548" s="2"/>
    </row>
    <row r="549" ht="16.5" customHeight="1">
      <c r="B549" s="2"/>
      <c r="C549" s="2"/>
    </row>
    <row r="550" ht="16.5" customHeight="1">
      <c r="B550" s="2"/>
      <c r="C550" s="2"/>
    </row>
    <row r="551" ht="16.5" customHeight="1">
      <c r="B551" s="2"/>
      <c r="C551" s="2"/>
    </row>
    <row r="552" ht="16.5" customHeight="1">
      <c r="B552" s="2"/>
      <c r="C552" s="2"/>
    </row>
    <row r="553" ht="16.5" customHeight="1">
      <c r="B553" s="2"/>
      <c r="C553" s="2"/>
    </row>
    <row r="554" ht="16.5" customHeight="1">
      <c r="B554" s="2"/>
      <c r="C554" s="2"/>
    </row>
    <row r="555" ht="16.5" customHeight="1">
      <c r="B555" s="2"/>
      <c r="C555" s="2"/>
    </row>
    <row r="556" ht="16.5" customHeight="1">
      <c r="B556" s="2"/>
      <c r="C556" s="2"/>
    </row>
    <row r="557" ht="16.5" customHeight="1">
      <c r="B557" s="2"/>
      <c r="C557" s="2"/>
    </row>
    <row r="558" ht="16.5" customHeight="1">
      <c r="B558" s="2"/>
      <c r="C558" s="2"/>
    </row>
    <row r="559" ht="16.5" customHeight="1">
      <c r="B559" s="2"/>
      <c r="C559" s="2"/>
    </row>
    <row r="560" ht="16.5" customHeight="1">
      <c r="B560" s="2"/>
      <c r="C560" s="2"/>
    </row>
    <row r="561" ht="16.5" customHeight="1">
      <c r="B561" s="2"/>
      <c r="C561" s="2"/>
    </row>
    <row r="562" ht="16.5" customHeight="1">
      <c r="B562" s="2"/>
      <c r="C562" s="2"/>
    </row>
    <row r="563" ht="16.5" customHeight="1">
      <c r="B563" s="2"/>
      <c r="C563" s="2"/>
    </row>
    <row r="564" ht="16.5" customHeight="1">
      <c r="B564" s="2"/>
      <c r="C564" s="2"/>
    </row>
    <row r="565" ht="16.5" customHeight="1">
      <c r="B565" s="2"/>
      <c r="C565" s="2"/>
    </row>
    <row r="566" ht="16.5" customHeight="1">
      <c r="B566" s="2"/>
      <c r="C566" s="2"/>
    </row>
    <row r="567" ht="16.5" customHeight="1">
      <c r="B567" s="2"/>
      <c r="C567" s="2"/>
    </row>
    <row r="568" ht="16.5" customHeight="1">
      <c r="B568" s="2"/>
      <c r="C568" s="2"/>
    </row>
    <row r="569" ht="16.5" customHeight="1">
      <c r="B569" s="2"/>
      <c r="C569" s="2"/>
    </row>
    <row r="570" ht="16.5" customHeight="1">
      <c r="B570" s="2"/>
      <c r="C570" s="2"/>
    </row>
    <row r="571" ht="16.5" customHeight="1">
      <c r="B571" s="2"/>
      <c r="C571" s="2"/>
    </row>
    <row r="572" ht="16.5" customHeight="1">
      <c r="B572" s="2"/>
      <c r="C572" s="2"/>
    </row>
    <row r="573" ht="16.5" customHeight="1">
      <c r="B573" s="2"/>
      <c r="C573" s="2"/>
    </row>
    <row r="574" ht="16.5" customHeight="1">
      <c r="B574" s="2"/>
      <c r="C574" s="2"/>
    </row>
    <row r="575" ht="16.5" customHeight="1">
      <c r="B575" s="2"/>
      <c r="C575" s="2"/>
    </row>
    <row r="576" ht="16.5" customHeight="1">
      <c r="B576" s="2"/>
      <c r="C576" s="2"/>
    </row>
    <row r="577" ht="16.5" customHeight="1">
      <c r="B577" s="2"/>
      <c r="C577" s="2"/>
    </row>
    <row r="578" ht="16.5" customHeight="1">
      <c r="B578" s="2"/>
      <c r="C578" s="2"/>
    </row>
    <row r="579" ht="16.5" customHeight="1">
      <c r="B579" s="2"/>
      <c r="C579" s="2"/>
    </row>
    <row r="580" ht="16.5" customHeight="1">
      <c r="B580" s="2"/>
      <c r="C580" s="2"/>
    </row>
    <row r="581" ht="16.5" customHeight="1">
      <c r="B581" s="2"/>
      <c r="C581" s="2"/>
    </row>
    <row r="582" ht="16.5" customHeight="1">
      <c r="B582" s="2"/>
      <c r="C582" s="2"/>
    </row>
    <row r="583" ht="16.5" customHeight="1">
      <c r="B583" s="2"/>
      <c r="C583" s="2"/>
    </row>
    <row r="584" ht="16.5" customHeight="1">
      <c r="B584" s="2"/>
      <c r="C584" s="2"/>
    </row>
    <row r="585" ht="16.5" customHeight="1">
      <c r="B585" s="2"/>
      <c r="C585" s="2"/>
    </row>
    <row r="586" ht="16.5" customHeight="1">
      <c r="B586" s="2"/>
      <c r="C586" s="2"/>
    </row>
    <row r="587" ht="16.5" customHeight="1">
      <c r="B587" s="2"/>
      <c r="C587" s="2"/>
    </row>
    <row r="588" ht="16.5" customHeight="1">
      <c r="B588" s="2"/>
      <c r="C588" s="2"/>
    </row>
    <row r="589" ht="16.5" customHeight="1">
      <c r="B589" s="2"/>
      <c r="C589" s="2"/>
    </row>
    <row r="590" ht="16.5" customHeight="1">
      <c r="B590" s="2"/>
      <c r="C590" s="2"/>
    </row>
    <row r="591" ht="16.5" customHeight="1">
      <c r="B591" s="2"/>
      <c r="C591" s="2"/>
    </row>
    <row r="592" ht="16.5" customHeight="1">
      <c r="B592" s="2"/>
      <c r="C592" s="2"/>
    </row>
    <row r="593" ht="16.5" customHeight="1">
      <c r="B593" s="2"/>
      <c r="C593" s="2"/>
    </row>
    <row r="594" ht="16.5" customHeight="1">
      <c r="B594" s="2"/>
      <c r="C594" s="2"/>
    </row>
    <row r="595" ht="16.5" customHeight="1">
      <c r="B595" s="2"/>
      <c r="C595" s="2"/>
    </row>
    <row r="596" ht="16.5" customHeight="1">
      <c r="B596" s="2"/>
      <c r="C596" s="2"/>
    </row>
    <row r="597" ht="16.5" customHeight="1">
      <c r="B597" s="2"/>
      <c r="C597" s="2"/>
    </row>
    <row r="598" ht="16.5" customHeight="1">
      <c r="B598" s="2"/>
      <c r="C598" s="2"/>
    </row>
    <row r="599" ht="16.5" customHeight="1">
      <c r="B599" s="2"/>
      <c r="C599" s="2"/>
    </row>
    <row r="600" ht="16.5" customHeight="1">
      <c r="B600" s="2"/>
      <c r="C600" s="2"/>
    </row>
    <row r="601" ht="16.5" customHeight="1">
      <c r="B601" s="2"/>
      <c r="C601" s="2"/>
    </row>
    <row r="602" ht="16.5" customHeight="1">
      <c r="B602" s="2"/>
      <c r="C602" s="2"/>
    </row>
    <row r="603" ht="16.5" customHeight="1">
      <c r="B603" s="2"/>
      <c r="C603" s="2"/>
    </row>
    <row r="604" ht="16.5" customHeight="1">
      <c r="B604" s="2"/>
      <c r="C604" s="2"/>
    </row>
    <row r="605" ht="16.5" customHeight="1">
      <c r="B605" s="2"/>
      <c r="C605" s="2"/>
    </row>
    <row r="606" ht="16.5" customHeight="1">
      <c r="B606" s="2"/>
      <c r="C606" s="2"/>
    </row>
    <row r="607" ht="16.5" customHeight="1">
      <c r="B607" s="2"/>
      <c r="C607" s="2"/>
    </row>
    <row r="608" ht="16.5" customHeight="1">
      <c r="B608" s="2"/>
      <c r="C608" s="2"/>
    </row>
    <row r="609" ht="16.5" customHeight="1">
      <c r="B609" s="2"/>
      <c r="C609" s="2"/>
    </row>
    <row r="610" ht="16.5" customHeight="1">
      <c r="B610" s="2"/>
      <c r="C610" s="2"/>
    </row>
    <row r="611" ht="16.5" customHeight="1">
      <c r="B611" s="2"/>
      <c r="C611" s="2"/>
    </row>
    <row r="612" ht="16.5" customHeight="1">
      <c r="B612" s="2"/>
      <c r="C612" s="2"/>
    </row>
    <row r="613" ht="16.5" customHeight="1">
      <c r="B613" s="2"/>
      <c r="C613" s="2"/>
    </row>
    <row r="614" ht="16.5" customHeight="1">
      <c r="B614" s="2"/>
      <c r="C614" s="2"/>
    </row>
    <row r="615" ht="16.5" customHeight="1">
      <c r="B615" s="2"/>
      <c r="C615" s="2"/>
    </row>
    <row r="616" ht="16.5" customHeight="1">
      <c r="B616" s="2"/>
      <c r="C616" s="2"/>
    </row>
    <row r="617" ht="16.5" customHeight="1">
      <c r="B617" s="2"/>
      <c r="C617" s="2"/>
    </row>
    <row r="618" ht="16.5" customHeight="1">
      <c r="B618" s="2"/>
      <c r="C618" s="2"/>
    </row>
    <row r="619" ht="16.5" customHeight="1">
      <c r="B619" s="2"/>
      <c r="C619" s="2"/>
    </row>
    <row r="620" ht="16.5" customHeight="1">
      <c r="B620" s="2"/>
      <c r="C620" s="2"/>
    </row>
    <row r="621" ht="16.5" customHeight="1">
      <c r="B621" s="2"/>
      <c r="C621" s="2"/>
    </row>
    <row r="622" ht="16.5" customHeight="1">
      <c r="B622" s="2"/>
      <c r="C622" s="2"/>
    </row>
    <row r="623" ht="16.5" customHeight="1">
      <c r="B623" s="2"/>
      <c r="C623" s="2"/>
    </row>
    <row r="624" ht="16.5" customHeight="1">
      <c r="B624" s="2"/>
      <c r="C624" s="2"/>
    </row>
    <row r="625" ht="16.5" customHeight="1">
      <c r="B625" s="2"/>
      <c r="C625" s="2"/>
    </row>
    <row r="626" ht="16.5" customHeight="1">
      <c r="B626" s="2"/>
      <c r="C626" s="2"/>
    </row>
    <row r="627" ht="16.5" customHeight="1">
      <c r="B627" s="2"/>
      <c r="C627" s="2"/>
    </row>
    <row r="628" ht="16.5" customHeight="1">
      <c r="B628" s="2"/>
      <c r="C628" s="2"/>
    </row>
    <row r="629" ht="16.5" customHeight="1">
      <c r="B629" s="2"/>
      <c r="C629" s="2"/>
    </row>
    <row r="630" ht="16.5" customHeight="1">
      <c r="B630" s="2"/>
      <c r="C630" s="2"/>
    </row>
    <row r="631" ht="16.5" customHeight="1">
      <c r="B631" s="2"/>
      <c r="C631" s="2"/>
    </row>
    <row r="632" ht="16.5" customHeight="1">
      <c r="B632" s="2"/>
      <c r="C632" s="2"/>
    </row>
    <row r="633" ht="16.5" customHeight="1">
      <c r="B633" s="2"/>
      <c r="C633" s="2"/>
    </row>
    <row r="634" ht="16.5" customHeight="1">
      <c r="B634" s="2"/>
      <c r="C634" s="2"/>
    </row>
    <row r="635" ht="16.5" customHeight="1">
      <c r="B635" s="2"/>
      <c r="C635" s="2"/>
    </row>
    <row r="636" ht="16.5" customHeight="1">
      <c r="B636" s="2"/>
      <c r="C636" s="2"/>
    </row>
    <row r="637" ht="16.5" customHeight="1">
      <c r="B637" s="2"/>
      <c r="C637" s="2"/>
    </row>
    <row r="638" ht="16.5" customHeight="1">
      <c r="B638" s="2"/>
      <c r="C638" s="2"/>
    </row>
    <row r="639" ht="16.5" customHeight="1">
      <c r="B639" s="2"/>
      <c r="C639" s="2"/>
    </row>
    <row r="640" ht="16.5" customHeight="1">
      <c r="B640" s="2"/>
      <c r="C640" s="2"/>
    </row>
    <row r="641" ht="16.5" customHeight="1">
      <c r="B641" s="2"/>
      <c r="C641" s="2"/>
    </row>
    <row r="642" ht="16.5" customHeight="1">
      <c r="B642" s="2"/>
      <c r="C642" s="2"/>
    </row>
    <row r="643" ht="16.5" customHeight="1">
      <c r="B643" s="2"/>
      <c r="C643" s="2"/>
    </row>
    <row r="644" ht="16.5" customHeight="1">
      <c r="B644" s="2"/>
      <c r="C644" s="2"/>
    </row>
    <row r="645" ht="16.5" customHeight="1">
      <c r="B645" s="2"/>
      <c r="C645" s="2"/>
    </row>
    <row r="646" ht="16.5" customHeight="1">
      <c r="B646" s="2"/>
      <c r="C646" s="2"/>
    </row>
    <row r="647" ht="16.5" customHeight="1">
      <c r="B647" s="2"/>
      <c r="C647" s="2"/>
    </row>
    <row r="648" ht="16.5" customHeight="1">
      <c r="B648" s="2"/>
      <c r="C648" s="2"/>
    </row>
    <row r="649" ht="16.5" customHeight="1">
      <c r="B649" s="2"/>
      <c r="C649" s="2"/>
    </row>
    <row r="650" ht="16.5" customHeight="1">
      <c r="B650" s="2"/>
      <c r="C650" s="2"/>
    </row>
    <row r="651" ht="16.5" customHeight="1">
      <c r="B651" s="2"/>
      <c r="C651" s="2"/>
    </row>
    <row r="652" ht="16.5" customHeight="1">
      <c r="B652" s="2"/>
      <c r="C652" s="2"/>
    </row>
    <row r="653" ht="16.5" customHeight="1">
      <c r="B653" s="2"/>
      <c r="C653" s="2"/>
    </row>
    <row r="654" ht="16.5" customHeight="1">
      <c r="B654" s="2"/>
      <c r="C654" s="2"/>
    </row>
    <row r="655" ht="16.5" customHeight="1">
      <c r="B655" s="2"/>
      <c r="C655" s="2"/>
    </row>
    <row r="656" ht="16.5" customHeight="1">
      <c r="B656" s="2"/>
      <c r="C656" s="2"/>
    </row>
    <row r="657" ht="16.5" customHeight="1">
      <c r="B657" s="2"/>
      <c r="C657" s="2"/>
    </row>
    <row r="658" ht="16.5" customHeight="1">
      <c r="B658" s="2"/>
      <c r="C658" s="2"/>
    </row>
    <row r="659" ht="16.5" customHeight="1">
      <c r="B659" s="2"/>
      <c r="C659" s="2"/>
    </row>
    <row r="660" ht="16.5" customHeight="1">
      <c r="B660" s="2"/>
      <c r="C660" s="2"/>
    </row>
    <row r="661" ht="16.5" customHeight="1">
      <c r="B661" s="2"/>
      <c r="C661" s="2"/>
    </row>
    <row r="662" ht="16.5" customHeight="1">
      <c r="B662" s="2"/>
      <c r="C662" s="2"/>
    </row>
    <row r="663" ht="16.5" customHeight="1">
      <c r="B663" s="2"/>
      <c r="C663" s="2"/>
    </row>
    <row r="664" ht="16.5" customHeight="1">
      <c r="B664" s="2"/>
      <c r="C664" s="2"/>
    </row>
    <row r="665" ht="16.5" customHeight="1">
      <c r="B665" s="2"/>
      <c r="C665" s="2"/>
    </row>
    <row r="666" ht="16.5" customHeight="1">
      <c r="B666" s="2"/>
      <c r="C666" s="2"/>
    </row>
    <row r="667" ht="16.5" customHeight="1">
      <c r="B667" s="2"/>
      <c r="C667" s="2"/>
    </row>
    <row r="668" ht="16.5" customHeight="1">
      <c r="B668" s="2"/>
      <c r="C668" s="2"/>
    </row>
    <row r="669" ht="16.5" customHeight="1">
      <c r="B669" s="2"/>
      <c r="C669" s="2"/>
    </row>
    <row r="670" ht="16.5" customHeight="1">
      <c r="B670" s="2"/>
      <c r="C670" s="2"/>
    </row>
    <row r="671" ht="16.5" customHeight="1">
      <c r="B671" s="2"/>
      <c r="C671" s="2"/>
    </row>
    <row r="672" ht="16.5" customHeight="1">
      <c r="B672" s="2"/>
      <c r="C672" s="2"/>
    </row>
    <row r="673" ht="16.5" customHeight="1">
      <c r="B673" s="2"/>
      <c r="C673" s="2"/>
    </row>
    <row r="674" ht="16.5" customHeight="1">
      <c r="B674" s="2"/>
      <c r="C674" s="2"/>
    </row>
    <row r="675" ht="16.5" customHeight="1">
      <c r="B675" s="2"/>
      <c r="C675" s="2"/>
    </row>
    <row r="676" ht="16.5" customHeight="1">
      <c r="B676" s="2"/>
      <c r="C676" s="2"/>
    </row>
    <row r="677" ht="16.5" customHeight="1">
      <c r="B677" s="2"/>
      <c r="C677" s="2"/>
    </row>
    <row r="678" ht="16.5" customHeight="1">
      <c r="B678" s="2"/>
      <c r="C678" s="2"/>
    </row>
    <row r="679" ht="16.5" customHeight="1">
      <c r="B679" s="2"/>
      <c r="C679" s="2"/>
    </row>
    <row r="680" ht="16.5" customHeight="1">
      <c r="B680" s="2"/>
      <c r="C680" s="2"/>
    </row>
    <row r="681" ht="16.5" customHeight="1">
      <c r="B681" s="2"/>
      <c r="C681" s="2"/>
    </row>
    <row r="682" ht="16.5" customHeight="1">
      <c r="B682" s="2"/>
      <c r="C682" s="2"/>
    </row>
    <row r="683" ht="16.5" customHeight="1">
      <c r="B683" s="2"/>
      <c r="C683" s="2"/>
    </row>
    <row r="684" ht="16.5" customHeight="1">
      <c r="B684" s="2"/>
      <c r="C684" s="2"/>
    </row>
    <row r="685" ht="16.5" customHeight="1">
      <c r="B685" s="2"/>
      <c r="C685" s="2"/>
    </row>
    <row r="686" ht="16.5" customHeight="1">
      <c r="B686" s="2"/>
      <c r="C686" s="2"/>
    </row>
    <row r="687" ht="16.5" customHeight="1">
      <c r="B687" s="2"/>
      <c r="C687" s="2"/>
    </row>
    <row r="688" ht="16.5" customHeight="1">
      <c r="B688" s="2"/>
      <c r="C688" s="2"/>
    </row>
    <row r="689" ht="16.5" customHeight="1">
      <c r="B689" s="2"/>
      <c r="C689" s="2"/>
    </row>
    <row r="690" ht="16.5" customHeight="1">
      <c r="B690" s="2"/>
      <c r="C690" s="2"/>
    </row>
    <row r="691" ht="16.5" customHeight="1">
      <c r="B691" s="2"/>
      <c r="C691" s="2"/>
    </row>
    <row r="692" ht="16.5" customHeight="1">
      <c r="B692" s="2"/>
      <c r="C692" s="2"/>
    </row>
    <row r="693" ht="16.5" customHeight="1">
      <c r="B693" s="2"/>
      <c r="C693" s="2"/>
    </row>
    <row r="694" ht="16.5" customHeight="1">
      <c r="B694" s="2"/>
      <c r="C694" s="2"/>
    </row>
    <row r="695" ht="16.5" customHeight="1">
      <c r="B695" s="2"/>
      <c r="C695" s="2"/>
    </row>
    <row r="696" ht="16.5" customHeight="1">
      <c r="B696" s="2"/>
      <c r="C696" s="2"/>
    </row>
    <row r="697" ht="16.5" customHeight="1">
      <c r="B697" s="2"/>
      <c r="C697" s="2"/>
    </row>
    <row r="698" ht="16.5" customHeight="1">
      <c r="B698" s="2"/>
      <c r="C698" s="2"/>
    </row>
    <row r="699" ht="16.5" customHeight="1">
      <c r="B699" s="2"/>
      <c r="C699" s="2"/>
    </row>
    <row r="700" ht="16.5" customHeight="1">
      <c r="B700" s="2"/>
      <c r="C700" s="2"/>
    </row>
    <row r="701" ht="16.5" customHeight="1">
      <c r="B701" s="2"/>
      <c r="C701" s="2"/>
    </row>
    <row r="702" ht="16.5" customHeight="1">
      <c r="B702" s="2"/>
      <c r="C702" s="2"/>
    </row>
    <row r="703" ht="16.5" customHeight="1">
      <c r="B703" s="2"/>
      <c r="C703" s="2"/>
    </row>
    <row r="704" ht="16.5" customHeight="1">
      <c r="B704" s="2"/>
      <c r="C704" s="2"/>
    </row>
    <row r="705" ht="16.5" customHeight="1">
      <c r="B705" s="2"/>
      <c r="C705" s="2"/>
    </row>
    <row r="706" ht="16.5" customHeight="1">
      <c r="B706" s="2"/>
      <c r="C706" s="2"/>
    </row>
    <row r="707" ht="16.5" customHeight="1">
      <c r="B707" s="2"/>
      <c r="C707" s="2"/>
    </row>
    <row r="708" ht="16.5" customHeight="1">
      <c r="B708" s="2"/>
      <c r="C708" s="2"/>
    </row>
    <row r="709" ht="16.5" customHeight="1">
      <c r="B709" s="2"/>
      <c r="C709" s="2"/>
    </row>
    <row r="710" ht="16.5" customHeight="1">
      <c r="B710" s="2"/>
      <c r="C710" s="2"/>
    </row>
    <row r="711" ht="16.5" customHeight="1">
      <c r="B711" s="2"/>
      <c r="C711" s="2"/>
    </row>
    <row r="712" ht="16.5" customHeight="1">
      <c r="B712" s="2"/>
      <c r="C712" s="2"/>
    </row>
    <row r="713" ht="16.5" customHeight="1">
      <c r="B713" s="2"/>
      <c r="C713" s="2"/>
    </row>
    <row r="714" ht="16.5" customHeight="1">
      <c r="B714" s="2"/>
      <c r="C714" s="2"/>
    </row>
    <row r="715" ht="16.5" customHeight="1">
      <c r="B715" s="2"/>
      <c r="C715" s="2"/>
    </row>
    <row r="716" ht="16.5" customHeight="1">
      <c r="B716" s="2"/>
      <c r="C716" s="2"/>
    </row>
    <row r="717" ht="16.5" customHeight="1">
      <c r="B717" s="2"/>
      <c r="C717" s="2"/>
    </row>
    <row r="718" ht="16.5" customHeight="1">
      <c r="B718" s="2"/>
      <c r="C718" s="2"/>
    </row>
    <row r="719" ht="16.5" customHeight="1">
      <c r="B719" s="2"/>
      <c r="C719" s="2"/>
    </row>
    <row r="720" ht="16.5" customHeight="1">
      <c r="B720" s="2"/>
      <c r="C720" s="2"/>
    </row>
    <row r="721" ht="16.5" customHeight="1">
      <c r="B721" s="2"/>
      <c r="C721" s="2"/>
    </row>
    <row r="722" ht="16.5" customHeight="1">
      <c r="B722" s="2"/>
      <c r="C722" s="2"/>
    </row>
    <row r="723" ht="16.5" customHeight="1">
      <c r="B723" s="2"/>
      <c r="C723" s="2"/>
    </row>
    <row r="724" ht="16.5" customHeight="1">
      <c r="B724" s="2"/>
      <c r="C724" s="2"/>
    </row>
    <row r="725" ht="16.5" customHeight="1">
      <c r="B725" s="2"/>
      <c r="C725" s="2"/>
    </row>
    <row r="726" ht="16.5" customHeight="1">
      <c r="B726" s="2"/>
      <c r="C726" s="2"/>
    </row>
    <row r="727" ht="16.5" customHeight="1">
      <c r="B727" s="2"/>
      <c r="C727" s="2"/>
    </row>
    <row r="728" ht="16.5" customHeight="1">
      <c r="B728" s="2"/>
      <c r="C728" s="2"/>
    </row>
    <row r="729" ht="16.5" customHeight="1">
      <c r="B729" s="2"/>
      <c r="C729" s="2"/>
    </row>
    <row r="730" ht="16.5" customHeight="1">
      <c r="B730" s="2"/>
      <c r="C730" s="2"/>
    </row>
    <row r="731" ht="16.5" customHeight="1">
      <c r="B731" s="2"/>
      <c r="C731" s="2"/>
    </row>
    <row r="732" ht="16.5" customHeight="1">
      <c r="B732" s="2"/>
      <c r="C732" s="2"/>
    </row>
    <row r="733" ht="16.5" customHeight="1">
      <c r="B733" s="2"/>
      <c r="C733" s="2"/>
    </row>
    <row r="734" ht="16.5" customHeight="1">
      <c r="B734" s="2"/>
      <c r="C734" s="2"/>
    </row>
    <row r="735" ht="16.5" customHeight="1">
      <c r="B735" s="2"/>
      <c r="C735" s="2"/>
    </row>
    <row r="736" ht="16.5" customHeight="1">
      <c r="B736" s="2"/>
      <c r="C736" s="2"/>
    </row>
    <row r="737" ht="16.5" customHeight="1">
      <c r="B737" s="2"/>
      <c r="C737" s="2"/>
    </row>
    <row r="738" ht="16.5" customHeight="1">
      <c r="B738" s="2"/>
      <c r="C738" s="2"/>
    </row>
    <row r="739" ht="16.5" customHeight="1">
      <c r="B739" s="2"/>
      <c r="C739" s="2"/>
    </row>
    <row r="740" ht="16.5" customHeight="1">
      <c r="B740" s="2"/>
      <c r="C740" s="2"/>
    </row>
    <row r="741" ht="16.5" customHeight="1">
      <c r="B741" s="2"/>
      <c r="C741" s="2"/>
    </row>
    <row r="742" ht="16.5" customHeight="1">
      <c r="B742" s="2"/>
      <c r="C742" s="2"/>
    </row>
    <row r="743" ht="16.5" customHeight="1">
      <c r="B743" s="2"/>
      <c r="C743" s="2"/>
    </row>
    <row r="744" ht="16.5" customHeight="1">
      <c r="B744" s="2"/>
      <c r="C744" s="2"/>
    </row>
    <row r="745" ht="16.5" customHeight="1">
      <c r="B745" s="2"/>
      <c r="C745" s="2"/>
    </row>
    <row r="746" ht="16.5" customHeight="1">
      <c r="B746" s="2"/>
      <c r="C746" s="2"/>
    </row>
    <row r="747" ht="16.5" customHeight="1">
      <c r="B747" s="2"/>
      <c r="C747" s="2"/>
    </row>
    <row r="748" ht="16.5" customHeight="1">
      <c r="B748" s="2"/>
      <c r="C748" s="2"/>
    </row>
    <row r="749" ht="16.5" customHeight="1">
      <c r="B749" s="2"/>
      <c r="C749" s="2"/>
    </row>
    <row r="750" ht="16.5" customHeight="1">
      <c r="B750" s="2"/>
      <c r="C750" s="2"/>
    </row>
    <row r="751" ht="16.5" customHeight="1">
      <c r="B751" s="2"/>
      <c r="C751" s="2"/>
    </row>
    <row r="752" ht="16.5" customHeight="1">
      <c r="B752" s="2"/>
      <c r="C752" s="2"/>
    </row>
    <row r="753" ht="16.5" customHeight="1">
      <c r="B753" s="2"/>
      <c r="C753" s="2"/>
    </row>
    <row r="754" ht="16.5" customHeight="1">
      <c r="B754" s="2"/>
      <c r="C754" s="2"/>
    </row>
    <row r="755" ht="16.5" customHeight="1">
      <c r="B755" s="2"/>
      <c r="C755" s="2"/>
    </row>
    <row r="756" ht="16.5" customHeight="1">
      <c r="B756" s="2"/>
      <c r="C756" s="2"/>
    </row>
    <row r="757" ht="16.5" customHeight="1">
      <c r="B757" s="2"/>
      <c r="C757" s="2"/>
    </row>
    <row r="758" ht="16.5" customHeight="1">
      <c r="B758" s="2"/>
      <c r="C758" s="2"/>
    </row>
    <row r="759" ht="16.5" customHeight="1">
      <c r="B759" s="2"/>
      <c r="C759" s="2"/>
    </row>
    <row r="760" ht="16.5" customHeight="1">
      <c r="B760" s="2"/>
      <c r="C760" s="2"/>
    </row>
    <row r="761" ht="16.5" customHeight="1">
      <c r="B761" s="2"/>
      <c r="C761" s="2"/>
    </row>
    <row r="762" ht="16.5" customHeight="1">
      <c r="B762" s="2"/>
      <c r="C762" s="2"/>
    </row>
    <row r="763" ht="16.5" customHeight="1">
      <c r="B763" s="2"/>
      <c r="C763" s="2"/>
    </row>
    <row r="764" ht="16.5" customHeight="1">
      <c r="B764" s="2"/>
      <c r="C764" s="2"/>
    </row>
    <row r="765" ht="16.5" customHeight="1">
      <c r="B765" s="2"/>
      <c r="C765" s="2"/>
    </row>
    <row r="766" ht="16.5" customHeight="1">
      <c r="B766" s="2"/>
      <c r="C766" s="2"/>
    </row>
    <row r="767" ht="16.5" customHeight="1">
      <c r="B767" s="2"/>
      <c r="C767" s="2"/>
    </row>
    <row r="768" ht="16.5" customHeight="1">
      <c r="B768" s="2"/>
      <c r="C768" s="2"/>
    </row>
    <row r="769" ht="16.5" customHeight="1">
      <c r="B769" s="2"/>
      <c r="C769" s="2"/>
    </row>
    <row r="770" ht="16.5" customHeight="1">
      <c r="B770" s="2"/>
      <c r="C770" s="2"/>
    </row>
    <row r="771" ht="16.5" customHeight="1">
      <c r="B771" s="2"/>
      <c r="C771" s="2"/>
    </row>
    <row r="772" ht="16.5" customHeight="1">
      <c r="B772" s="2"/>
      <c r="C772" s="2"/>
    </row>
    <row r="773" ht="16.5" customHeight="1">
      <c r="B773" s="2"/>
      <c r="C773" s="2"/>
    </row>
    <row r="774" ht="16.5" customHeight="1">
      <c r="B774" s="2"/>
      <c r="C774" s="2"/>
    </row>
    <row r="775" ht="16.5" customHeight="1">
      <c r="B775" s="2"/>
      <c r="C775" s="2"/>
    </row>
    <row r="776" ht="16.5" customHeight="1">
      <c r="B776" s="2"/>
      <c r="C776" s="2"/>
    </row>
    <row r="777" ht="16.5" customHeight="1">
      <c r="B777" s="2"/>
      <c r="C777" s="2"/>
    </row>
    <row r="778" ht="16.5" customHeight="1">
      <c r="B778" s="2"/>
      <c r="C778" s="2"/>
    </row>
    <row r="779" ht="16.5" customHeight="1">
      <c r="B779" s="2"/>
      <c r="C779" s="2"/>
    </row>
    <row r="780" ht="16.5" customHeight="1">
      <c r="B780" s="2"/>
      <c r="C780" s="2"/>
    </row>
    <row r="781" ht="16.5" customHeight="1">
      <c r="B781" s="2"/>
      <c r="C781" s="2"/>
    </row>
    <row r="782" ht="16.5" customHeight="1">
      <c r="B782" s="2"/>
      <c r="C782" s="2"/>
    </row>
    <row r="783" ht="16.5" customHeight="1">
      <c r="B783" s="2"/>
      <c r="C783" s="2"/>
    </row>
    <row r="784" ht="16.5" customHeight="1">
      <c r="B784" s="2"/>
      <c r="C784" s="2"/>
    </row>
    <row r="785" ht="16.5" customHeight="1">
      <c r="B785" s="2"/>
      <c r="C785" s="2"/>
    </row>
    <row r="786" ht="16.5" customHeight="1">
      <c r="B786" s="2"/>
      <c r="C786" s="2"/>
    </row>
    <row r="787" ht="16.5" customHeight="1">
      <c r="B787" s="2"/>
      <c r="C787" s="2"/>
    </row>
    <row r="788" ht="16.5" customHeight="1">
      <c r="B788" s="2"/>
      <c r="C788" s="2"/>
    </row>
    <row r="789" ht="16.5" customHeight="1">
      <c r="B789" s="2"/>
      <c r="C789" s="2"/>
    </row>
    <row r="790" ht="16.5" customHeight="1">
      <c r="B790" s="2"/>
      <c r="C790" s="2"/>
    </row>
    <row r="791" ht="16.5" customHeight="1">
      <c r="B791" s="2"/>
      <c r="C791" s="2"/>
    </row>
    <row r="792" ht="16.5" customHeight="1">
      <c r="B792" s="2"/>
      <c r="C792" s="2"/>
    </row>
    <row r="793" ht="16.5" customHeight="1">
      <c r="B793" s="2"/>
      <c r="C793" s="2"/>
    </row>
    <row r="794" ht="16.5" customHeight="1">
      <c r="B794" s="2"/>
      <c r="C794" s="2"/>
    </row>
    <row r="795" ht="16.5" customHeight="1">
      <c r="B795" s="2"/>
      <c r="C795" s="2"/>
    </row>
    <row r="796" ht="16.5" customHeight="1">
      <c r="B796" s="2"/>
      <c r="C796" s="2"/>
    </row>
    <row r="797" ht="16.5" customHeight="1">
      <c r="B797" s="2"/>
      <c r="C797" s="2"/>
    </row>
    <row r="798" ht="16.5" customHeight="1">
      <c r="B798" s="2"/>
      <c r="C798" s="2"/>
    </row>
    <row r="799" ht="16.5" customHeight="1">
      <c r="B799" s="2"/>
      <c r="C799" s="2"/>
    </row>
    <row r="800" ht="16.5" customHeight="1">
      <c r="B800" s="2"/>
      <c r="C800" s="2"/>
    </row>
    <row r="801" ht="16.5" customHeight="1">
      <c r="B801" s="2"/>
      <c r="C801" s="2"/>
    </row>
    <row r="802" ht="16.5" customHeight="1">
      <c r="B802" s="2"/>
      <c r="C802" s="2"/>
    </row>
    <row r="803" ht="16.5" customHeight="1">
      <c r="B803" s="2"/>
      <c r="C803" s="2"/>
    </row>
    <row r="804" ht="16.5" customHeight="1">
      <c r="B804" s="2"/>
      <c r="C804" s="2"/>
    </row>
    <row r="805" ht="16.5" customHeight="1">
      <c r="B805" s="2"/>
      <c r="C805" s="2"/>
    </row>
    <row r="806" ht="16.5" customHeight="1">
      <c r="B806" s="2"/>
      <c r="C806" s="2"/>
    </row>
    <row r="807" ht="16.5" customHeight="1">
      <c r="B807" s="2"/>
      <c r="C807" s="2"/>
    </row>
    <row r="808" ht="16.5" customHeight="1">
      <c r="B808" s="2"/>
      <c r="C808" s="2"/>
    </row>
    <row r="809" ht="16.5" customHeight="1">
      <c r="B809" s="2"/>
      <c r="C809" s="2"/>
    </row>
    <row r="810" ht="16.5" customHeight="1">
      <c r="B810" s="2"/>
      <c r="C810" s="2"/>
    </row>
    <row r="811" ht="16.5" customHeight="1">
      <c r="B811" s="2"/>
      <c r="C811" s="2"/>
    </row>
    <row r="812" ht="16.5" customHeight="1">
      <c r="B812" s="2"/>
      <c r="C812" s="2"/>
    </row>
    <row r="813" ht="16.5" customHeight="1">
      <c r="B813" s="2"/>
      <c r="C813" s="2"/>
    </row>
    <row r="814" ht="16.5" customHeight="1">
      <c r="B814" s="2"/>
      <c r="C814" s="2"/>
    </row>
    <row r="815" ht="16.5" customHeight="1">
      <c r="B815" s="2"/>
      <c r="C815" s="2"/>
    </row>
    <row r="816" ht="16.5" customHeight="1">
      <c r="B816" s="2"/>
      <c r="C816" s="2"/>
    </row>
    <row r="817" ht="16.5" customHeight="1">
      <c r="B817" s="2"/>
      <c r="C817" s="2"/>
    </row>
    <row r="818" ht="16.5" customHeight="1">
      <c r="B818" s="2"/>
      <c r="C818" s="2"/>
    </row>
    <row r="819" ht="16.5" customHeight="1">
      <c r="B819" s="2"/>
      <c r="C819" s="2"/>
    </row>
    <row r="820" ht="16.5" customHeight="1">
      <c r="B820" s="2"/>
      <c r="C820" s="2"/>
    </row>
    <row r="821" ht="16.5" customHeight="1">
      <c r="B821" s="2"/>
      <c r="C821" s="2"/>
    </row>
    <row r="822" ht="16.5" customHeight="1">
      <c r="B822" s="2"/>
      <c r="C822" s="2"/>
    </row>
    <row r="823" ht="16.5" customHeight="1">
      <c r="B823" s="2"/>
      <c r="C823" s="2"/>
    </row>
    <row r="824" ht="16.5" customHeight="1">
      <c r="B824" s="2"/>
      <c r="C824" s="2"/>
    </row>
    <row r="825" ht="16.5" customHeight="1">
      <c r="B825" s="2"/>
      <c r="C825" s="2"/>
    </row>
    <row r="826" ht="16.5" customHeight="1">
      <c r="B826" s="2"/>
      <c r="C826" s="2"/>
    </row>
    <row r="827" ht="16.5" customHeight="1">
      <c r="B827" s="2"/>
      <c r="C827" s="2"/>
    </row>
    <row r="828" ht="16.5" customHeight="1">
      <c r="B828" s="2"/>
      <c r="C828" s="2"/>
    </row>
    <row r="829" ht="16.5" customHeight="1">
      <c r="B829" s="2"/>
      <c r="C829" s="2"/>
    </row>
    <row r="830" ht="16.5" customHeight="1">
      <c r="B830" s="2"/>
      <c r="C830" s="2"/>
    </row>
    <row r="831" ht="16.5" customHeight="1">
      <c r="B831" s="2"/>
      <c r="C831" s="2"/>
    </row>
    <row r="832" ht="16.5" customHeight="1">
      <c r="B832" s="2"/>
      <c r="C832" s="2"/>
    </row>
    <row r="833" ht="16.5" customHeight="1">
      <c r="B833" s="2"/>
      <c r="C833" s="2"/>
    </row>
    <row r="834" ht="16.5" customHeight="1">
      <c r="B834" s="2"/>
      <c r="C834" s="2"/>
    </row>
    <row r="835" ht="16.5" customHeight="1">
      <c r="B835" s="2"/>
      <c r="C835" s="2"/>
    </row>
    <row r="836" ht="16.5" customHeight="1">
      <c r="B836" s="2"/>
      <c r="C836" s="2"/>
    </row>
    <row r="837" ht="16.5" customHeight="1">
      <c r="B837" s="2"/>
      <c r="C837" s="2"/>
    </row>
    <row r="838" ht="16.5" customHeight="1">
      <c r="B838" s="2"/>
      <c r="C838" s="2"/>
    </row>
    <row r="839" ht="16.5" customHeight="1">
      <c r="B839" s="2"/>
      <c r="C839" s="2"/>
    </row>
    <row r="840" ht="16.5" customHeight="1">
      <c r="B840" s="2"/>
      <c r="C840" s="2"/>
    </row>
    <row r="841" ht="16.5" customHeight="1">
      <c r="B841" s="2"/>
      <c r="C841" s="2"/>
    </row>
    <row r="842" ht="16.5" customHeight="1">
      <c r="B842" s="2"/>
      <c r="C842" s="2"/>
    </row>
    <row r="843" ht="16.5" customHeight="1">
      <c r="B843" s="2"/>
      <c r="C843" s="2"/>
    </row>
    <row r="844" ht="16.5" customHeight="1">
      <c r="B844" s="2"/>
      <c r="C844" s="2"/>
    </row>
    <row r="845" ht="16.5" customHeight="1">
      <c r="B845" s="2"/>
      <c r="C845" s="2"/>
    </row>
    <row r="846" ht="16.5" customHeight="1">
      <c r="B846" s="2"/>
      <c r="C846" s="2"/>
    </row>
    <row r="847" ht="16.5" customHeight="1">
      <c r="B847" s="2"/>
      <c r="C847" s="2"/>
    </row>
    <row r="848" ht="16.5" customHeight="1">
      <c r="B848" s="2"/>
      <c r="C848" s="2"/>
    </row>
    <row r="849" ht="16.5" customHeight="1">
      <c r="B849" s="2"/>
      <c r="C849" s="2"/>
    </row>
    <row r="850" ht="16.5" customHeight="1">
      <c r="B850" s="2"/>
      <c r="C850" s="2"/>
    </row>
    <row r="851" ht="16.5" customHeight="1">
      <c r="B851" s="2"/>
      <c r="C851" s="2"/>
    </row>
    <row r="852" ht="16.5" customHeight="1">
      <c r="B852" s="2"/>
      <c r="C852" s="2"/>
    </row>
    <row r="853" ht="16.5" customHeight="1">
      <c r="B853" s="2"/>
      <c r="C853" s="2"/>
    </row>
    <row r="854" ht="16.5" customHeight="1">
      <c r="B854" s="2"/>
      <c r="C854" s="2"/>
    </row>
    <row r="855" ht="16.5" customHeight="1">
      <c r="B855" s="2"/>
      <c r="C855" s="2"/>
    </row>
    <row r="856" ht="16.5" customHeight="1">
      <c r="B856" s="2"/>
      <c r="C856" s="2"/>
    </row>
    <row r="857" ht="16.5" customHeight="1">
      <c r="B857" s="2"/>
      <c r="C857" s="2"/>
    </row>
    <row r="858" ht="16.5" customHeight="1">
      <c r="B858" s="2"/>
      <c r="C858" s="2"/>
    </row>
    <row r="859" ht="16.5" customHeight="1">
      <c r="B859" s="2"/>
      <c r="C859" s="2"/>
    </row>
    <row r="860" ht="16.5" customHeight="1">
      <c r="B860" s="2"/>
      <c r="C860" s="2"/>
    </row>
    <row r="861" ht="16.5" customHeight="1">
      <c r="B861" s="2"/>
      <c r="C861" s="2"/>
    </row>
    <row r="862" ht="16.5" customHeight="1">
      <c r="B862" s="2"/>
      <c r="C862" s="2"/>
    </row>
    <row r="863" ht="16.5" customHeight="1">
      <c r="B863" s="2"/>
      <c r="C863" s="2"/>
    </row>
    <row r="864" ht="16.5" customHeight="1">
      <c r="B864" s="2"/>
      <c r="C864" s="2"/>
    </row>
    <row r="865" ht="16.5" customHeight="1">
      <c r="B865" s="2"/>
      <c r="C865" s="2"/>
    </row>
    <row r="866" ht="16.5" customHeight="1">
      <c r="B866" s="2"/>
      <c r="C866" s="2"/>
    </row>
    <row r="867" ht="16.5" customHeight="1">
      <c r="B867" s="2"/>
      <c r="C867" s="2"/>
    </row>
    <row r="868" ht="16.5" customHeight="1">
      <c r="B868" s="2"/>
      <c r="C868" s="2"/>
    </row>
    <row r="869" ht="16.5" customHeight="1">
      <c r="B869" s="2"/>
      <c r="C869" s="2"/>
    </row>
    <row r="870" ht="16.5" customHeight="1">
      <c r="B870" s="2"/>
      <c r="C870" s="2"/>
    </row>
    <row r="871" ht="16.5" customHeight="1">
      <c r="B871" s="2"/>
      <c r="C871" s="2"/>
    </row>
    <row r="872" ht="16.5" customHeight="1">
      <c r="B872" s="2"/>
      <c r="C872" s="2"/>
    </row>
    <row r="873" ht="16.5" customHeight="1">
      <c r="B873" s="2"/>
      <c r="C873" s="2"/>
    </row>
    <row r="874" ht="16.5" customHeight="1">
      <c r="B874" s="2"/>
      <c r="C874" s="2"/>
    </row>
    <row r="875" ht="16.5" customHeight="1">
      <c r="B875" s="2"/>
      <c r="C875" s="2"/>
    </row>
    <row r="876" ht="16.5" customHeight="1">
      <c r="B876" s="2"/>
      <c r="C876" s="2"/>
    </row>
    <row r="877" ht="16.5" customHeight="1">
      <c r="B877" s="2"/>
      <c r="C877" s="2"/>
    </row>
    <row r="878" ht="16.5" customHeight="1">
      <c r="B878" s="2"/>
      <c r="C878" s="2"/>
    </row>
    <row r="879" ht="16.5" customHeight="1">
      <c r="B879" s="2"/>
      <c r="C879" s="2"/>
    </row>
    <row r="880" ht="16.5" customHeight="1">
      <c r="B880" s="2"/>
      <c r="C880" s="2"/>
    </row>
    <row r="881" ht="16.5" customHeight="1">
      <c r="B881" s="2"/>
      <c r="C881" s="2"/>
    </row>
    <row r="882" ht="16.5" customHeight="1">
      <c r="B882" s="2"/>
      <c r="C882" s="2"/>
    </row>
    <row r="883" ht="16.5" customHeight="1">
      <c r="B883" s="2"/>
      <c r="C883" s="2"/>
    </row>
    <row r="884" ht="16.5" customHeight="1">
      <c r="B884" s="2"/>
      <c r="C884" s="2"/>
    </row>
    <row r="885" ht="16.5" customHeight="1">
      <c r="B885" s="2"/>
      <c r="C885" s="2"/>
    </row>
    <row r="886" ht="16.5" customHeight="1">
      <c r="B886" s="2"/>
      <c r="C886" s="2"/>
    </row>
    <row r="887" ht="16.5" customHeight="1">
      <c r="B887" s="2"/>
      <c r="C887" s="2"/>
    </row>
    <row r="888" ht="16.5" customHeight="1">
      <c r="B888" s="2"/>
      <c r="C888" s="2"/>
    </row>
    <row r="889" ht="16.5" customHeight="1">
      <c r="B889" s="2"/>
      <c r="C889" s="2"/>
    </row>
    <row r="890" ht="16.5" customHeight="1">
      <c r="B890" s="2"/>
      <c r="C890" s="2"/>
    </row>
    <row r="891" ht="16.5" customHeight="1">
      <c r="B891" s="2"/>
      <c r="C891" s="2"/>
    </row>
    <row r="892" ht="16.5" customHeight="1">
      <c r="B892" s="2"/>
      <c r="C892" s="2"/>
    </row>
    <row r="893" ht="16.5" customHeight="1">
      <c r="B893" s="2"/>
      <c r="C893" s="2"/>
    </row>
    <row r="894" ht="16.5" customHeight="1">
      <c r="B894" s="2"/>
      <c r="C894" s="2"/>
    </row>
    <row r="895" ht="16.5" customHeight="1">
      <c r="B895" s="2"/>
      <c r="C895" s="2"/>
    </row>
    <row r="896" ht="16.5" customHeight="1">
      <c r="B896" s="2"/>
      <c r="C896" s="2"/>
    </row>
    <row r="897" ht="16.5" customHeight="1">
      <c r="B897" s="2"/>
      <c r="C897" s="2"/>
    </row>
    <row r="898" ht="16.5" customHeight="1">
      <c r="B898" s="2"/>
      <c r="C898" s="2"/>
    </row>
    <row r="899" ht="16.5" customHeight="1">
      <c r="B899" s="2"/>
      <c r="C899" s="2"/>
    </row>
    <row r="900" ht="16.5" customHeight="1">
      <c r="B900" s="2"/>
      <c r="C900" s="2"/>
    </row>
    <row r="901" ht="16.5" customHeight="1">
      <c r="B901" s="2"/>
      <c r="C901" s="2"/>
    </row>
    <row r="902" ht="16.5" customHeight="1">
      <c r="B902" s="2"/>
      <c r="C902" s="2"/>
    </row>
    <row r="903" ht="16.5" customHeight="1">
      <c r="B903" s="2"/>
      <c r="C903" s="2"/>
    </row>
    <row r="904" ht="16.5" customHeight="1">
      <c r="B904" s="2"/>
      <c r="C904" s="2"/>
    </row>
    <row r="905" ht="16.5" customHeight="1">
      <c r="B905" s="2"/>
      <c r="C905" s="2"/>
    </row>
    <row r="906" ht="16.5" customHeight="1">
      <c r="B906" s="2"/>
      <c r="C906" s="2"/>
    </row>
    <row r="907" ht="16.5" customHeight="1">
      <c r="B907" s="2"/>
      <c r="C907" s="2"/>
    </row>
    <row r="908" ht="16.5" customHeight="1">
      <c r="B908" s="2"/>
      <c r="C908" s="2"/>
    </row>
    <row r="909" ht="16.5" customHeight="1">
      <c r="B909" s="2"/>
      <c r="C909" s="2"/>
    </row>
    <row r="910" ht="16.5" customHeight="1">
      <c r="B910" s="2"/>
      <c r="C910" s="2"/>
    </row>
    <row r="911" ht="16.5" customHeight="1">
      <c r="B911" s="2"/>
      <c r="C911" s="2"/>
    </row>
    <row r="912" ht="16.5" customHeight="1">
      <c r="B912" s="2"/>
      <c r="C912" s="2"/>
    </row>
    <row r="913" ht="16.5" customHeight="1">
      <c r="B913" s="2"/>
      <c r="C913" s="2"/>
    </row>
    <row r="914" ht="16.5" customHeight="1">
      <c r="B914" s="2"/>
      <c r="C914" s="2"/>
    </row>
    <row r="915" ht="16.5" customHeight="1">
      <c r="B915" s="2"/>
      <c r="C915" s="2"/>
    </row>
    <row r="916" ht="16.5" customHeight="1">
      <c r="B916" s="2"/>
      <c r="C916" s="2"/>
    </row>
    <row r="917" ht="16.5" customHeight="1">
      <c r="B917" s="2"/>
      <c r="C917" s="2"/>
    </row>
    <row r="918" ht="16.5" customHeight="1">
      <c r="B918" s="2"/>
      <c r="C918" s="2"/>
    </row>
    <row r="919" ht="16.5" customHeight="1">
      <c r="B919" s="2"/>
      <c r="C919" s="2"/>
    </row>
    <row r="920" ht="16.5" customHeight="1">
      <c r="B920" s="2"/>
      <c r="C920" s="2"/>
    </row>
    <row r="921" ht="16.5" customHeight="1">
      <c r="B921" s="2"/>
      <c r="C921" s="2"/>
    </row>
    <row r="922" ht="16.5" customHeight="1">
      <c r="B922" s="2"/>
      <c r="C922" s="2"/>
    </row>
    <row r="923" ht="16.5" customHeight="1">
      <c r="B923" s="2"/>
      <c r="C923" s="2"/>
    </row>
    <row r="924" ht="16.5" customHeight="1">
      <c r="B924" s="2"/>
      <c r="C924" s="2"/>
    </row>
    <row r="925" ht="16.5" customHeight="1">
      <c r="B925" s="2"/>
      <c r="C925" s="2"/>
    </row>
    <row r="926" ht="16.5" customHeight="1">
      <c r="B926" s="2"/>
      <c r="C926" s="2"/>
    </row>
    <row r="927" ht="16.5" customHeight="1">
      <c r="B927" s="2"/>
      <c r="C927" s="2"/>
    </row>
    <row r="928" ht="16.5" customHeight="1">
      <c r="B928" s="2"/>
      <c r="C928" s="2"/>
    </row>
    <row r="929" ht="16.5" customHeight="1">
      <c r="B929" s="2"/>
      <c r="C929" s="2"/>
    </row>
    <row r="930" ht="16.5" customHeight="1">
      <c r="B930" s="2"/>
      <c r="C930" s="2"/>
    </row>
    <row r="931" ht="16.5" customHeight="1">
      <c r="B931" s="2"/>
      <c r="C931" s="2"/>
    </row>
    <row r="932" ht="16.5" customHeight="1">
      <c r="B932" s="2"/>
      <c r="C932" s="2"/>
    </row>
    <row r="933" ht="16.5" customHeight="1">
      <c r="B933" s="2"/>
      <c r="C933" s="2"/>
    </row>
    <row r="934" ht="16.5" customHeight="1">
      <c r="B934" s="2"/>
      <c r="C934" s="2"/>
    </row>
    <row r="935" ht="16.5" customHeight="1">
      <c r="B935" s="2"/>
      <c r="C935" s="2"/>
    </row>
    <row r="936" ht="16.5" customHeight="1">
      <c r="B936" s="2"/>
      <c r="C936" s="2"/>
    </row>
    <row r="937" ht="16.5" customHeight="1">
      <c r="B937" s="2"/>
      <c r="C937" s="2"/>
    </row>
    <row r="938" ht="16.5" customHeight="1">
      <c r="B938" s="2"/>
      <c r="C938" s="2"/>
    </row>
    <row r="939" ht="16.5" customHeight="1">
      <c r="B939" s="2"/>
      <c r="C939" s="2"/>
    </row>
    <row r="940" ht="16.5" customHeight="1">
      <c r="B940" s="2"/>
      <c r="C940" s="2"/>
    </row>
    <row r="941" ht="16.5" customHeight="1">
      <c r="B941" s="2"/>
      <c r="C941" s="2"/>
    </row>
    <row r="942" ht="16.5" customHeight="1">
      <c r="B942" s="2"/>
      <c r="C942" s="2"/>
    </row>
    <row r="943" ht="16.5" customHeight="1">
      <c r="B943" s="2"/>
      <c r="C943" s="2"/>
    </row>
    <row r="944" ht="16.5" customHeight="1">
      <c r="B944" s="2"/>
      <c r="C944" s="2"/>
    </row>
    <row r="945" ht="16.5" customHeight="1">
      <c r="B945" s="2"/>
      <c r="C945" s="2"/>
    </row>
    <row r="946" ht="16.5" customHeight="1">
      <c r="B946" s="2"/>
      <c r="C946" s="2"/>
    </row>
    <row r="947" ht="16.5" customHeight="1">
      <c r="B947" s="2"/>
      <c r="C947" s="2"/>
    </row>
    <row r="948" ht="16.5" customHeight="1">
      <c r="B948" s="2"/>
      <c r="C948" s="2"/>
    </row>
    <row r="949" ht="16.5" customHeight="1">
      <c r="B949" s="2"/>
      <c r="C949" s="2"/>
    </row>
    <row r="950" ht="16.5" customHeight="1">
      <c r="B950" s="2"/>
      <c r="C950" s="2"/>
    </row>
    <row r="951" ht="16.5" customHeight="1">
      <c r="B951" s="2"/>
      <c r="C951" s="2"/>
    </row>
    <row r="952" ht="16.5" customHeight="1">
      <c r="B952" s="2"/>
      <c r="C952" s="2"/>
    </row>
    <row r="953" ht="16.5" customHeight="1">
      <c r="B953" s="2"/>
      <c r="C953" s="2"/>
    </row>
    <row r="954" ht="16.5" customHeight="1">
      <c r="B954" s="2"/>
      <c r="C954" s="2"/>
    </row>
    <row r="955" ht="16.5" customHeight="1">
      <c r="B955" s="2"/>
      <c r="C955" s="2"/>
    </row>
    <row r="956" ht="16.5" customHeight="1">
      <c r="B956" s="2"/>
      <c r="C956" s="2"/>
    </row>
    <row r="957" ht="16.5" customHeight="1">
      <c r="B957" s="2"/>
      <c r="C957" s="2"/>
    </row>
    <row r="958" ht="16.5" customHeight="1">
      <c r="B958" s="2"/>
      <c r="C958" s="2"/>
    </row>
    <row r="959" ht="16.5" customHeight="1">
      <c r="B959" s="2"/>
      <c r="C959" s="2"/>
    </row>
    <row r="960" ht="16.5" customHeight="1">
      <c r="B960" s="2"/>
      <c r="C960" s="2"/>
    </row>
    <row r="961" ht="16.5" customHeight="1">
      <c r="B961" s="2"/>
      <c r="C961" s="2"/>
    </row>
    <row r="962" ht="16.5" customHeight="1">
      <c r="B962" s="2"/>
      <c r="C962" s="2"/>
    </row>
    <row r="963" ht="16.5" customHeight="1">
      <c r="B963" s="2"/>
      <c r="C963" s="2"/>
    </row>
    <row r="964" ht="16.5" customHeight="1">
      <c r="B964" s="2"/>
      <c r="C964" s="2"/>
    </row>
    <row r="965" ht="16.5" customHeight="1">
      <c r="B965" s="2"/>
      <c r="C965" s="2"/>
    </row>
    <row r="966" ht="16.5" customHeight="1">
      <c r="B966" s="2"/>
      <c r="C966" s="2"/>
    </row>
    <row r="967" ht="16.5" customHeight="1">
      <c r="B967" s="2"/>
      <c r="C967" s="2"/>
    </row>
    <row r="968" ht="16.5" customHeight="1">
      <c r="B968" s="2"/>
      <c r="C968" s="2"/>
    </row>
    <row r="969" ht="16.5" customHeight="1">
      <c r="B969" s="2"/>
      <c r="C969" s="2"/>
    </row>
    <row r="970" ht="16.5" customHeight="1">
      <c r="B970" s="2"/>
      <c r="C970" s="2"/>
    </row>
    <row r="971" ht="16.5" customHeight="1">
      <c r="B971" s="2"/>
      <c r="C971" s="2"/>
    </row>
  </sheetData>
  <mergeCells count="9">
    <mergeCell ref="N2:N3"/>
    <mergeCell ref="O2:O3"/>
    <mergeCell ref="B2:B3"/>
    <mergeCell ref="C2:C3"/>
    <mergeCell ref="D2:E2"/>
    <mergeCell ref="F2:F3"/>
    <mergeCell ref="G2:G3"/>
    <mergeCell ref="H2:H3"/>
    <mergeCell ref="I2:I3"/>
  </mergeCells>
  <hyperlinks>
    <hyperlink r:id="rId1" ref="C8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7.89"/>
    <col customWidth="1" min="2" max="2" width="9.89"/>
    <col customWidth="1" min="4" max="4" width="23.44"/>
    <col customWidth="1" min="5" max="5" width="19.0"/>
  </cols>
  <sheetData>
    <row r="1">
      <c r="A1" s="215" t="s">
        <v>365</v>
      </c>
      <c r="B1" s="215" t="s">
        <v>367</v>
      </c>
      <c r="C1" s="217" t="s">
        <v>368</v>
      </c>
      <c r="D1" s="215" t="s">
        <v>371</v>
      </c>
      <c r="E1" s="215" t="s">
        <v>372</v>
      </c>
    </row>
    <row r="2">
      <c r="A2" s="214" t="s">
        <v>374</v>
      </c>
      <c r="B2" s="214" t="s">
        <v>375</v>
      </c>
      <c r="C2" s="220"/>
      <c r="D2" s="214" t="s">
        <v>377</v>
      </c>
    </row>
    <row r="3">
      <c r="C3" s="220"/>
      <c r="D3" s="214" t="s">
        <v>378</v>
      </c>
    </row>
    <row r="4">
      <c r="C4" s="222"/>
      <c r="D4" s="214" t="s">
        <v>380</v>
      </c>
    </row>
    <row r="5">
      <c r="C5" s="222"/>
      <c r="D5" s="214" t="s">
        <v>381</v>
      </c>
    </row>
    <row r="6">
      <c r="A6" s="214"/>
      <c r="B6" s="214"/>
      <c r="C6" s="222"/>
      <c r="D6" s="214" t="s">
        <v>382</v>
      </c>
      <c r="E6" s="214" t="s">
        <v>285</v>
      </c>
    </row>
    <row r="7">
      <c r="A7" s="214" t="s">
        <v>383</v>
      </c>
      <c r="B7" s="214" t="s">
        <v>375</v>
      </c>
      <c r="C7" s="222"/>
      <c r="D7" s="214" t="s">
        <v>377</v>
      </c>
    </row>
    <row r="8">
      <c r="C8" s="222"/>
      <c r="D8" s="214" t="s">
        <v>378</v>
      </c>
    </row>
    <row r="9">
      <c r="C9" s="222"/>
      <c r="D9" s="214" t="s">
        <v>385</v>
      </c>
    </row>
    <row r="10">
      <c r="C10" s="222"/>
      <c r="D10" s="214" t="s">
        <v>387</v>
      </c>
      <c r="E10" s="214" t="s">
        <v>61</v>
      </c>
    </row>
    <row r="11">
      <c r="C11" s="222"/>
      <c r="D11" s="214" t="s">
        <v>382</v>
      </c>
      <c r="E11" s="214" t="s">
        <v>285</v>
      </c>
    </row>
    <row r="12">
      <c r="A12" s="214" t="s">
        <v>389</v>
      </c>
      <c r="B12" s="214" t="s">
        <v>375</v>
      </c>
      <c r="C12" s="222"/>
      <c r="D12" s="214" t="s">
        <v>377</v>
      </c>
    </row>
    <row r="13">
      <c r="C13" s="222"/>
      <c r="D13" s="214" t="s">
        <v>378</v>
      </c>
    </row>
    <row r="14">
      <c r="C14" s="222"/>
      <c r="D14" s="214" t="s">
        <v>385</v>
      </c>
    </row>
    <row r="15">
      <c r="C15" s="222"/>
      <c r="D15" s="214" t="s">
        <v>387</v>
      </c>
      <c r="E15" s="214" t="s">
        <v>61</v>
      </c>
    </row>
    <row r="16">
      <c r="C16" s="222"/>
      <c r="D16" s="214" t="s">
        <v>382</v>
      </c>
      <c r="E16" s="214" t="s">
        <v>61</v>
      </c>
    </row>
    <row r="17">
      <c r="A17" s="214" t="s">
        <v>390</v>
      </c>
      <c r="B17" s="214" t="s">
        <v>391</v>
      </c>
      <c r="C17" s="222"/>
      <c r="D17" s="214" t="s">
        <v>377</v>
      </c>
    </row>
    <row r="18">
      <c r="C18" s="222"/>
      <c r="D18" s="214" t="s">
        <v>378</v>
      </c>
    </row>
    <row r="19">
      <c r="C19" s="222"/>
      <c r="D19" s="214" t="s">
        <v>380</v>
      </c>
    </row>
    <row r="20">
      <c r="C20" s="222"/>
      <c r="D20" s="214" t="s">
        <v>385</v>
      </c>
    </row>
    <row r="21">
      <c r="C21" s="222"/>
      <c r="D21" s="214" t="s">
        <v>387</v>
      </c>
    </row>
    <row r="22">
      <c r="C22" s="222"/>
      <c r="D22" s="214" t="s">
        <v>382</v>
      </c>
    </row>
    <row r="23">
      <c r="A23" s="214" t="s">
        <v>393</v>
      </c>
      <c r="B23" s="214" t="s">
        <v>391</v>
      </c>
      <c r="C23" s="222"/>
      <c r="D23" s="214" t="s">
        <v>377</v>
      </c>
    </row>
    <row r="24">
      <c r="C24" s="222"/>
      <c r="D24" s="214" t="s">
        <v>378</v>
      </c>
    </row>
    <row r="25">
      <c r="C25" s="222"/>
      <c r="D25" s="214" t="s">
        <v>380</v>
      </c>
    </row>
    <row r="26">
      <c r="C26" s="222"/>
      <c r="D26" s="214" t="s">
        <v>381</v>
      </c>
    </row>
    <row r="27">
      <c r="C27" s="222"/>
      <c r="D27" s="214" t="s">
        <v>382</v>
      </c>
    </row>
    <row r="28">
      <c r="A28" s="214" t="s">
        <v>394</v>
      </c>
      <c r="B28" s="214" t="s">
        <v>395</v>
      </c>
      <c r="C28" s="222"/>
      <c r="D28" s="214" t="s">
        <v>377</v>
      </c>
    </row>
    <row r="29">
      <c r="C29" s="222"/>
      <c r="D29" s="214" t="s">
        <v>378</v>
      </c>
    </row>
    <row r="30">
      <c r="C30" s="222"/>
      <c r="D30" s="214" t="s">
        <v>380</v>
      </c>
    </row>
    <row r="31">
      <c r="C31" s="222"/>
      <c r="D31" s="214" t="s">
        <v>385</v>
      </c>
    </row>
    <row r="32">
      <c r="C32" s="222"/>
      <c r="D32" s="214" t="s">
        <v>387</v>
      </c>
    </row>
    <row r="33">
      <c r="C33" s="222"/>
      <c r="D33" s="214" t="s">
        <v>382</v>
      </c>
    </row>
    <row r="34">
      <c r="A34" s="214" t="s">
        <v>396</v>
      </c>
      <c r="B34" s="214" t="s">
        <v>395</v>
      </c>
      <c r="C34" s="222"/>
      <c r="D34" s="214" t="s">
        <v>377</v>
      </c>
    </row>
    <row r="35">
      <c r="C35" s="222"/>
      <c r="D35" s="214" t="s">
        <v>378</v>
      </c>
    </row>
    <row r="36">
      <c r="C36" s="222"/>
      <c r="D36" s="214" t="s">
        <v>380</v>
      </c>
    </row>
    <row r="37">
      <c r="C37" s="222"/>
      <c r="D37" s="214" t="s">
        <v>385</v>
      </c>
    </row>
    <row r="38">
      <c r="C38" s="222"/>
      <c r="D38" s="214" t="s">
        <v>387</v>
      </c>
    </row>
    <row r="39">
      <c r="C39" s="222"/>
      <c r="D39" s="214" t="s">
        <v>382</v>
      </c>
    </row>
    <row r="40">
      <c r="A40" s="214" t="s">
        <v>398</v>
      </c>
      <c r="B40" s="214" t="s">
        <v>395</v>
      </c>
      <c r="C40" s="222"/>
      <c r="D40" s="214" t="s">
        <v>377</v>
      </c>
    </row>
    <row r="41">
      <c r="C41" s="222"/>
      <c r="D41" s="214" t="s">
        <v>378</v>
      </c>
    </row>
    <row r="42">
      <c r="C42" s="222"/>
      <c r="D42" s="214" t="s">
        <v>380</v>
      </c>
    </row>
    <row r="43">
      <c r="C43" s="222"/>
      <c r="D43" s="214" t="s">
        <v>385</v>
      </c>
    </row>
    <row r="44">
      <c r="C44" s="222"/>
      <c r="D44" s="214" t="s">
        <v>387</v>
      </c>
    </row>
    <row r="45">
      <c r="C45" s="222"/>
      <c r="D45" s="214" t="s">
        <v>382</v>
      </c>
    </row>
    <row r="46">
      <c r="A46" s="214" t="s">
        <v>399</v>
      </c>
      <c r="B46" s="214" t="s">
        <v>400</v>
      </c>
      <c r="C46" s="222"/>
      <c r="D46" s="214" t="s">
        <v>377</v>
      </c>
    </row>
    <row r="47">
      <c r="C47" s="222"/>
      <c r="D47" s="214" t="s">
        <v>378</v>
      </c>
    </row>
    <row r="48">
      <c r="C48" s="222"/>
      <c r="D48" s="214" t="s">
        <v>380</v>
      </c>
    </row>
    <row r="49">
      <c r="C49" s="222"/>
      <c r="D49" s="214" t="s">
        <v>385</v>
      </c>
    </row>
    <row r="50">
      <c r="C50" s="222"/>
      <c r="D50" s="214" t="s">
        <v>387</v>
      </c>
    </row>
    <row r="51">
      <c r="C51" s="222"/>
      <c r="D51" s="214" t="s">
        <v>382</v>
      </c>
    </row>
    <row r="52">
      <c r="C52" s="222"/>
    </row>
    <row r="53">
      <c r="C53" s="222"/>
    </row>
    <row r="54">
      <c r="C54" s="222"/>
    </row>
    <row r="55">
      <c r="C55" s="222"/>
    </row>
    <row r="56">
      <c r="C56" s="222"/>
    </row>
    <row r="57">
      <c r="C57" s="222"/>
    </row>
    <row r="58">
      <c r="C58" s="222"/>
    </row>
    <row r="59">
      <c r="C59" s="222"/>
    </row>
    <row r="60">
      <c r="C60" s="222"/>
    </row>
    <row r="61">
      <c r="C61" s="222"/>
    </row>
    <row r="62">
      <c r="C62" s="222"/>
    </row>
    <row r="63">
      <c r="C63" s="222"/>
    </row>
    <row r="64">
      <c r="C64" s="222"/>
    </row>
    <row r="65">
      <c r="C65" s="222"/>
    </row>
    <row r="66">
      <c r="C66" s="222"/>
    </row>
    <row r="67">
      <c r="C67" s="222"/>
    </row>
    <row r="68">
      <c r="C68" s="222"/>
    </row>
    <row r="69">
      <c r="C69" s="222"/>
    </row>
    <row r="70">
      <c r="C70" s="222"/>
    </row>
    <row r="71">
      <c r="C71" s="222"/>
    </row>
    <row r="72">
      <c r="C72" s="222"/>
    </row>
    <row r="73">
      <c r="C73" s="222"/>
    </row>
    <row r="74">
      <c r="C74" s="222"/>
    </row>
    <row r="75">
      <c r="C75" s="222"/>
    </row>
    <row r="76">
      <c r="C76" s="222"/>
    </row>
    <row r="77">
      <c r="C77" s="222"/>
    </row>
    <row r="78">
      <c r="C78" s="222"/>
    </row>
    <row r="79">
      <c r="C79" s="222"/>
    </row>
    <row r="80">
      <c r="C80" s="222"/>
    </row>
    <row r="81">
      <c r="C81" s="222"/>
    </row>
    <row r="82">
      <c r="C82" s="222"/>
    </row>
    <row r="83">
      <c r="C83" s="222"/>
    </row>
    <row r="84">
      <c r="C84" s="222"/>
    </row>
    <row r="85">
      <c r="C85" s="222"/>
    </row>
    <row r="86">
      <c r="C86" s="222"/>
    </row>
    <row r="87">
      <c r="C87" s="222"/>
    </row>
    <row r="88">
      <c r="C88" s="222"/>
    </row>
    <row r="89">
      <c r="C89" s="222"/>
    </row>
    <row r="90">
      <c r="C90" s="222"/>
    </row>
    <row r="91">
      <c r="C91" s="222"/>
    </row>
    <row r="92">
      <c r="C92" s="222"/>
    </row>
    <row r="93">
      <c r="C93" s="222"/>
    </row>
    <row r="94">
      <c r="C94" s="222"/>
    </row>
    <row r="95">
      <c r="C95" s="222"/>
    </row>
    <row r="96">
      <c r="C96" s="222"/>
    </row>
    <row r="97">
      <c r="C97" s="222"/>
    </row>
    <row r="98">
      <c r="C98" s="222"/>
    </row>
    <row r="99">
      <c r="C99" s="222"/>
    </row>
    <row r="100">
      <c r="C100" s="222"/>
    </row>
    <row r="101">
      <c r="C101" s="222"/>
    </row>
    <row r="102">
      <c r="C102" s="222"/>
    </row>
    <row r="103">
      <c r="C103" s="222"/>
    </row>
    <row r="104">
      <c r="C104" s="222"/>
    </row>
    <row r="105">
      <c r="C105" s="222"/>
    </row>
    <row r="106">
      <c r="C106" s="222"/>
    </row>
    <row r="107">
      <c r="C107" s="222"/>
    </row>
    <row r="108">
      <c r="C108" s="222"/>
    </row>
    <row r="109">
      <c r="C109" s="222"/>
    </row>
    <row r="110">
      <c r="C110" s="222"/>
    </row>
    <row r="111">
      <c r="C111" s="222"/>
    </row>
    <row r="112">
      <c r="C112" s="222"/>
    </row>
    <row r="113">
      <c r="C113" s="222"/>
    </row>
    <row r="114">
      <c r="C114" s="222"/>
    </row>
    <row r="115">
      <c r="C115" s="222"/>
    </row>
    <row r="116">
      <c r="C116" s="222"/>
    </row>
    <row r="117">
      <c r="C117" s="222"/>
    </row>
    <row r="118">
      <c r="C118" s="222"/>
    </row>
    <row r="119">
      <c r="C119" s="222"/>
    </row>
    <row r="120">
      <c r="C120" s="222"/>
    </row>
    <row r="121">
      <c r="C121" s="222"/>
    </row>
    <row r="122">
      <c r="C122" s="222"/>
    </row>
    <row r="123">
      <c r="C123" s="222"/>
    </row>
    <row r="124">
      <c r="C124" s="222"/>
    </row>
    <row r="125">
      <c r="C125" s="222"/>
    </row>
    <row r="126">
      <c r="C126" s="222"/>
    </row>
    <row r="127">
      <c r="C127" s="222"/>
    </row>
    <row r="128">
      <c r="C128" s="222"/>
    </row>
    <row r="129">
      <c r="C129" s="222"/>
    </row>
    <row r="130">
      <c r="C130" s="222"/>
    </row>
    <row r="131">
      <c r="C131" s="222"/>
    </row>
    <row r="132">
      <c r="C132" s="222"/>
    </row>
    <row r="133">
      <c r="C133" s="222"/>
    </row>
    <row r="134">
      <c r="C134" s="222"/>
    </row>
    <row r="135">
      <c r="C135" s="222"/>
    </row>
    <row r="136">
      <c r="C136" s="222"/>
    </row>
    <row r="137">
      <c r="C137" s="222"/>
    </row>
    <row r="138">
      <c r="C138" s="222"/>
    </row>
    <row r="139">
      <c r="C139" s="222"/>
    </row>
    <row r="140">
      <c r="C140" s="222"/>
    </row>
    <row r="141">
      <c r="C141" s="222"/>
    </row>
    <row r="142">
      <c r="C142" s="222"/>
    </row>
    <row r="143">
      <c r="C143" s="222"/>
    </row>
    <row r="144">
      <c r="C144" s="222"/>
    </row>
    <row r="145">
      <c r="C145" s="222"/>
    </row>
    <row r="146">
      <c r="C146" s="222"/>
    </row>
    <row r="147">
      <c r="C147" s="222"/>
    </row>
    <row r="148">
      <c r="C148" s="222"/>
    </row>
    <row r="149">
      <c r="C149" s="222"/>
    </row>
    <row r="150">
      <c r="C150" s="222"/>
    </row>
    <row r="151">
      <c r="C151" s="222"/>
    </row>
    <row r="152">
      <c r="C152" s="222"/>
    </row>
    <row r="153">
      <c r="C153" s="222"/>
    </row>
    <row r="154">
      <c r="C154" s="222"/>
    </row>
    <row r="155">
      <c r="C155" s="222"/>
    </row>
    <row r="156">
      <c r="C156" s="222"/>
    </row>
    <row r="157">
      <c r="C157" s="222"/>
    </row>
    <row r="158">
      <c r="C158" s="222"/>
    </row>
    <row r="159">
      <c r="C159" s="222"/>
    </row>
    <row r="160">
      <c r="C160" s="222"/>
    </row>
    <row r="161">
      <c r="C161" s="222"/>
    </row>
    <row r="162">
      <c r="C162" s="222"/>
    </row>
    <row r="163">
      <c r="C163" s="222"/>
    </row>
    <row r="164">
      <c r="C164" s="222"/>
    </row>
    <row r="165">
      <c r="C165" s="222"/>
    </row>
    <row r="166">
      <c r="C166" s="222"/>
    </row>
    <row r="167">
      <c r="C167" s="222"/>
    </row>
    <row r="168">
      <c r="C168" s="222"/>
    </row>
    <row r="169">
      <c r="C169" s="222"/>
    </row>
    <row r="170">
      <c r="C170" s="222"/>
    </row>
    <row r="171">
      <c r="C171" s="222"/>
    </row>
    <row r="172">
      <c r="C172" s="222"/>
    </row>
    <row r="173">
      <c r="C173" s="222"/>
    </row>
    <row r="174">
      <c r="C174" s="222"/>
    </row>
    <row r="175">
      <c r="C175" s="222"/>
    </row>
    <row r="176">
      <c r="C176" s="222"/>
    </row>
    <row r="177">
      <c r="C177" s="222"/>
    </row>
    <row r="178">
      <c r="C178" s="222"/>
    </row>
    <row r="179">
      <c r="C179" s="222"/>
    </row>
    <row r="180">
      <c r="C180" s="222"/>
    </row>
    <row r="181">
      <c r="C181" s="222"/>
    </row>
    <row r="182">
      <c r="C182" s="222"/>
    </row>
    <row r="183">
      <c r="C183" s="222"/>
    </row>
    <row r="184">
      <c r="C184" s="222"/>
    </row>
    <row r="185">
      <c r="C185" s="222"/>
    </row>
    <row r="186">
      <c r="C186" s="222"/>
    </row>
    <row r="187">
      <c r="C187" s="222"/>
    </row>
    <row r="188">
      <c r="C188" s="222"/>
    </row>
    <row r="189">
      <c r="C189" s="222"/>
    </row>
    <row r="190">
      <c r="C190" s="222"/>
    </row>
    <row r="191">
      <c r="C191" s="222"/>
    </row>
    <row r="192">
      <c r="C192" s="222"/>
    </row>
    <row r="193">
      <c r="C193" s="222"/>
    </row>
    <row r="194">
      <c r="C194" s="222"/>
    </row>
    <row r="195">
      <c r="C195" s="222"/>
    </row>
    <row r="196">
      <c r="C196" s="222"/>
    </row>
    <row r="197">
      <c r="C197" s="222"/>
    </row>
    <row r="198">
      <c r="C198" s="222"/>
    </row>
    <row r="199">
      <c r="C199" s="222"/>
    </row>
    <row r="200">
      <c r="C200" s="222"/>
    </row>
    <row r="201">
      <c r="C201" s="222"/>
    </row>
    <row r="202">
      <c r="C202" s="222"/>
    </row>
    <row r="203">
      <c r="C203" s="222"/>
    </row>
    <row r="204">
      <c r="C204" s="222"/>
    </row>
    <row r="205">
      <c r="C205" s="222"/>
    </row>
    <row r="206">
      <c r="C206" s="222"/>
    </row>
    <row r="207">
      <c r="C207" s="222"/>
    </row>
    <row r="208">
      <c r="C208" s="222"/>
    </row>
    <row r="209">
      <c r="C209" s="222"/>
    </row>
    <row r="210">
      <c r="C210" s="222"/>
    </row>
    <row r="211">
      <c r="C211" s="222"/>
    </row>
    <row r="212">
      <c r="C212" s="222"/>
    </row>
    <row r="213">
      <c r="C213" s="222"/>
    </row>
    <row r="214">
      <c r="C214" s="222"/>
    </row>
    <row r="215">
      <c r="C215" s="222"/>
    </row>
    <row r="216">
      <c r="C216" s="222"/>
    </row>
    <row r="217">
      <c r="C217" s="222"/>
    </row>
    <row r="218">
      <c r="C218" s="222"/>
    </row>
    <row r="219">
      <c r="C219" s="222"/>
    </row>
    <row r="220">
      <c r="C220" s="222"/>
    </row>
    <row r="221">
      <c r="C221" s="222"/>
    </row>
    <row r="222">
      <c r="C222" s="222"/>
    </row>
    <row r="223">
      <c r="C223" s="222"/>
    </row>
    <row r="224">
      <c r="C224" s="222"/>
    </row>
    <row r="225">
      <c r="C225" s="222"/>
    </row>
    <row r="226">
      <c r="C226" s="222"/>
    </row>
    <row r="227">
      <c r="C227" s="222"/>
    </row>
    <row r="228">
      <c r="C228" s="222"/>
    </row>
    <row r="229">
      <c r="C229" s="222"/>
    </row>
    <row r="230">
      <c r="C230" s="222"/>
    </row>
    <row r="231">
      <c r="C231" s="222"/>
    </row>
    <row r="232">
      <c r="C232" s="222"/>
    </row>
    <row r="233">
      <c r="C233" s="222"/>
    </row>
    <row r="234">
      <c r="C234" s="222"/>
    </row>
    <row r="235">
      <c r="C235" s="222"/>
    </row>
    <row r="236">
      <c r="C236" s="222"/>
    </row>
    <row r="237">
      <c r="C237" s="222"/>
    </row>
    <row r="238">
      <c r="C238" s="222"/>
    </row>
    <row r="239">
      <c r="C239" s="222"/>
    </row>
    <row r="240">
      <c r="C240" s="222"/>
    </row>
    <row r="241">
      <c r="C241" s="222"/>
    </row>
    <row r="242">
      <c r="C242" s="222"/>
    </row>
    <row r="243">
      <c r="C243" s="222"/>
    </row>
    <row r="244">
      <c r="C244" s="222"/>
    </row>
    <row r="245">
      <c r="C245" s="222"/>
    </row>
    <row r="246">
      <c r="C246" s="222"/>
    </row>
    <row r="247">
      <c r="C247" s="222"/>
    </row>
    <row r="248">
      <c r="C248" s="222"/>
    </row>
    <row r="249">
      <c r="C249" s="222"/>
    </row>
    <row r="250">
      <c r="C250" s="222"/>
    </row>
    <row r="251">
      <c r="C251" s="222"/>
    </row>
    <row r="252">
      <c r="C252" s="222"/>
    </row>
    <row r="253">
      <c r="C253" s="222"/>
    </row>
    <row r="254">
      <c r="C254" s="222"/>
    </row>
    <row r="255">
      <c r="C255" s="222"/>
    </row>
    <row r="256">
      <c r="C256" s="222"/>
    </row>
    <row r="257">
      <c r="C257" s="222"/>
    </row>
    <row r="258">
      <c r="C258" s="222"/>
    </row>
    <row r="259">
      <c r="C259" s="222"/>
    </row>
    <row r="260">
      <c r="C260" s="222"/>
    </row>
    <row r="261">
      <c r="C261" s="222"/>
    </row>
    <row r="262">
      <c r="C262" s="222"/>
    </row>
    <row r="263">
      <c r="C263" s="222"/>
    </row>
    <row r="264">
      <c r="C264" s="222"/>
    </row>
    <row r="265">
      <c r="C265" s="222"/>
    </row>
    <row r="266">
      <c r="C266" s="222"/>
    </row>
    <row r="267">
      <c r="C267" s="222"/>
    </row>
    <row r="268">
      <c r="C268" s="222"/>
    </row>
    <row r="269">
      <c r="C269" s="222"/>
    </row>
    <row r="270">
      <c r="C270" s="222"/>
    </row>
    <row r="271">
      <c r="C271" s="222"/>
    </row>
    <row r="272">
      <c r="C272" s="222"/>
    </row>
    <row r="273">
      <c r="C273" s="222"/>
    </row>
    <row r="274">
      <c r="C274" s="222"/>
    </row>
    <row r="275">
      <c r="C275" s="222"/>
    </row>
    <row r="276">
      <c r="C276" s="222"/>
    </row>
    <row r="277">
      <c r="C277" s="222"/>
    </row>
    <row r="278">
      <c r="C278" s="222"/>
    </row>
    <row r="279">
      <c r="C279" s="222"/>
    </row>
    <row r="280">
      <c r="C280" s="222"/>
    </row>
    <row r="281">
      <c r="C281" s="222"/>
    </row>
    <row r="282">
      <c r="C282" s="222"/>
    </row>
    <row r="283">
      <c r="C283" s="222"/>
    </row>
    <row r="284">
      <c r="C284" s="222"/>
    </row>
    <row r="285">
      <c r="C285" s="222"/>
    </row>
    <row r="286">
      <c r="C286" s="222"/>
    </row>
    <row r="287">
      <c r="C287" s="222"/>
    </row>
    <row r="288">
      <c r="C288" s="222"/>
    </row>
    <row r="289">
      <c r="C289" s="222"/>
    </row>
    <row r="290">
      <c r="C290" s="222"/>
    </row>
    <row r="291">
      <c r="C291" s="222"/>
    </row>
    <row r="292">
      <c r="C292" s="222"/>
    </row>
    <row r="293">
      <c r="C293" s="222"/>
    </row>
    <row r="294">
      <c r="C294" s="222"/>
    </row>
    <row r="295">
      <c r="C295" s="222"/>
    </row>
    <row r="296">
      <c r="C296" s="222"/>
    </row>
    <row r="297">
      <c r="C297" s="222"/>
    </row>
    <row r="298">
      <c r="C298" s="222"/>
    </row>
    <row r="299">
      <c r="C299" s="222"/>
    </row>
    <row r="300">
      <c r="C300" s="222"/>
    </row>
    <row r="301">
      <c r="C301" s="222"/>
    </row>
    <row r="302">
      <c r="C302" s="222"/>
    </row>
    <row r="303">
      <c r="C303" s="222"/>
    </row>
    <row r="304">
      <c r="C304" s="222"/>
    </row>
    <row r="305">
      <c r="C305" s="222"/>
    </row>
    <row r="306">
      <c r="C306" s="222"/>
    </row>
    <row r="307">
      <c r="C307" s="222"/>
    </row>
    <row r="308">
      <c r="C308" s="222"/>
    </row>
    <row r="309">
      <c r="C309" s="222"/>
    </row>
    <row r="310">
      <c r="C310" s="222"/>
    </row>
    <row r="311">
      <c r="C311" s="222"/>
    </row>
    <row r="312">
      <c r="C312" s="222"/>
    </row>
    <row r="313">
      <c r="C313" s="222"/>
    </row>
    <row r="314">
      <c r="C314" s="222"/>
    </row>
    <row r="315">
      <c r="C315" s="222"/>
    </row>
    <row r="316">
      <c r="C316" s="222"/>
    </row>
    <row r="317">
      <c r="C317" s="222"/>
    </row>
    <row r="318">
      <c r="C318" s="222"/>
    </row>
    <row r="319">
      <c r="C319" s="222"/>
    </row>
    <row r="320">
      <c r="C320" s="222"/>
    </row>
    <row r="321">
      <c r="C321" s="222"/>
    </row>
    <row r="322">
      <c r="C322" s="222"/>
    </row>
    <row r="323">
      <c r="C323" s="222"/>
    </row>
    <row r="324">
      <c r="C324" s="222"/>
    </row>
    <row r="325">
      <c r="C325" s="222"/>
    </row>
    <row r="326">
      <c r="C326" s="222"/>
    </row>
    <row r="327">
      <c r="C327" s="222"/>
    </row>
    <row r="328">
      <c r="C328" s="222"/>
    </row>
    <row r="329">
      <c r="C329" s="222"/>
    </row>
    <row r="330">
      <c r="C330" s="222"/>
    </row>
    <row r="331">
      <c r="C331" s="222"/>
    </row>
    <row r="332">
      <c r="C332" s="222"/>
    </row>
    <row r="333">
      <c r="C333" s="222"/>
    </row>
    <row r="334">
      <c r="C334" s="222"/>
    </row>
    <row r="335">
      <c r="C335" s="222"/>
    </row>
    <row r="336">
      <c r="C336" s="222"/>
    </row>
    <row r="337">
      <c r="C337" s="222"/>
    </row>
    <row r="338">
      <c r="C338" s="222"/>
    </row>
    <row r="339">
      <c r="C339" s="222"/>
    </row>
    <row r="340">
      <c r="C340" s="222"/>
    </row>
    <row r="341">
      <c r="C341" s="222"/>
    </row>
    <row r="342">
      <c r="C342" s="222"/>
    </row>
    <row r="343">
      <c r="C343" s="222"/>
    </row>
    <row r="344">
      <c r="C344" s="222"/>
    </row>
    <row r="345">
      <c r="C345" s="222"/>
    </row>
    <row r="346">
      <c r="C346" s="222"/>
    </row>
    <row r="347">
      <c r="C347" s="222"/>
    </row>
    <row r="348">
      <c r="C348" s="222"/>
    </row>
    <row r="349">
      <c r="C349" s="222"/>
    </row>
    <row r="350">
      <c r="C350" s="222"/>
    </row>
    <row r="351">
      <c r="C351" s="222"/>
    </row>
    <row r="352">
      <c r="C352" s="222"/>
    </row>
    <row r="353">
      <c r="C353" s="222"/>
    </row>
    <row r="354">
      <c r="C354" s="222"/>
    </row>
    <row r="355">
      <c r="C355" s="222"/>
    </row>
    <row r="356">
      <c r="C356" s="222"/>
    </row>
    <row r="357">
      <c r="C357" s="222"/>
    </row>
    <row r="358">
      <c r="C358" s="222"/>
    </row>
    <row r="359">
      <c r="C359" s="222"/>
    </row>
    <row r="360">
      <c r="C360" s="222"/>
    </row>
    <row r="361">
      <c r="C361" s="222"/>
    </row>
    <row r="362">
      <c r="C362" s="222"/>
    </row>
    <row r="363">
      <c r="C363" s="222"/>
    </row>
    <row r="364">
      <c r="C364" s="222"/>
    </row>
    <row r="365">
      <c r="C365" s="222"/>
    </row>
    <row r="366">
      <c r="C366" s="222"/>
    </row>
    <row r="367">
      <c r="C367" s="222"/>
    </row>
    <row r="368">
      <c r="C368" s="222"/>
    </row>
    <row r="369">
      <c r="C369" s="222"/>
    </row>
    <row r="370">
      <c r="C370" s="222"/>
    </row>
    <row r="371">
      <c r="C371" s="222"/>
    </row>
    <row r="372">
      <c r="C372" s="222"/>
    </row>
    <row r="373">
      <c r="C373" s="222"/>
    </row>
    <row r="374">
      <c r="C374" s="222"/>
    </row>
    <row r="375">
      <c r="C375" s="222"/>
    </row>
    <row r="376">
      <c r="C376" s="222"/>
    </row>
    <row r="377">
      <c r="C377" s="222"/>
    </row>
    <row r="378">
      <c r="C378" s="222"/>
    </row>
    <row r="379">
      <c r="C379" s="222"/>
    </row>
    <row r="380">
      <c r="C380" s="222"/>
    </row>
    <row r="381">
      <c r="C381" s="222"/>
    </row>
    <row r="382">
      <c r="C382" s="222"/>
    </row>
    <row r="383">
      <c r="C383" s="222"/>
    </row>
    <row r="384">
      <c r="C384" s="222"/>
    </row>
    <row r="385">
      <c r="C385" s="222"/>
    </row>
    <row r="386">
      <c r="C386" s="222"/>
    </row>
    <row r="387">
      <c r="C387" s="222"/>
    </row>
    <row r="388">
      <c r="C388" s="222"/>
    </row>
    <row r="389">
      <c r="C389" s="222"/>
    </row>
    <row r="390">
      <c r="C390" s="222"/>
    </row>
    <row r="391">
      <c r="C391" s="222"/>
    </row>
    <row r="392">
      <c r="C392" s="222"/>
    </row>
    <row r="393">
      <c r="C393" s="222"/>
    </row>
    <row r="394">
      <c r="C394" s="222"/>
    </row>
    <row r="395">
      <c r="C395" s="222"/>
    </row>
    <row r="396">
      <c r="C396" s="222"/>
    </row>
    <row r="397">
      <c r="C397" s="222"/>
    </row>
    <row r="398">
      <c r="C398" s="222"/>
    </row>
    <row r="399">
      <c r="C399" s="222"/>
    </row>
    <row r="400">
      <c r="C400" s="222"/>
    </row>
    <row r="401">
      <c r="C401" s="222"/>
    </row>
    <row r="402">
      <c r="C402" s="222"/>
    </row>
    <row r="403">
      <c r="C403" s="222"/>
    </row>
    <row r="404">
      <c r="C404" s="222"/>
    </row>
    <row r="405">
      <c r="C405" s="222"/>
    </row>
    <row r="406">
      <c r="C406" s="222"/>
    </row>
    <row r="407">
      <c r="C407" s="222"/>
    </row>
    <row r="408">
      <c r="C408" s="222"/>
    </row>
    <row r="409">
      <c r="C409" s="222"/>
    </row>
    <row r="410">
      <c r="C410" s="222"/>
    </row>
    <row r="411">
      <c r="C411" s="222"/>
    </row>
    <row r="412">
      <c r="C412" s="222"/>
    </row>
    <row r="413">
      <c r="C413" s="222"/>
    </row>
    <row r="414">
      <c r="C414" s="222"/>
    </row>
    <row r="415">
      <c r="C415" s="222"/>
    </row>
    <row r="416">
      <c r="C416" s="222"/>
    </row>
    <row r="417">
      <c r="C417" s="222"/>
    </row>
    <row r="418">
      <c r="C418" s="222"/>
    </row>
    <row r="419">
      <c r="C419" s="222"/>
    </row>
    <row r="420">
      <c r="C420" s="222"/>
    </row>
    <row r="421">
      <c r="C421" s="222"/>
    </row>
    <row r="422">
      <c r="C422" s="222"/>
    </row>
    <row r="423">
      <c r="C423" s="222"/>
    </row>
    <row r="424">
      <c r="C424" s="222"/>
    </row>
    <row r="425">
      <c r="C425" s="222"/>
    </row>
    <row r="426">
      <c r="C426" s="222"/>
    </row>
    <row r="427">
      <c r="C427" s="222"/>
    </row>
    <row r="428">
      <c r="C428" s="222"/>
    </row>
    <row r="429">
      <c r="C429" s="222"/>
    </row>
    <row r="430">
      <c r="C430" s="222"/>
    </row>
    <row r="431">
      <c r="C431" s="222"/>
    </row>
    <row r="432">
      <c r="C432" s="222"/>
    </row>
    <row r="433">
      <c r="C433" s="222"/>
    </row>
    <row r="434">
      <c r="C434" s="222"/>
    </row>
    <row r="435">
      <c r="C435" s="222"/>
    </row>
    <row r="436">
      <c r="C436" s="222"/>
    </row>
    <row r="437">
      <c r="C437" s="222"/>
    </row>
    <row r="438">
      <c r="C438" s="222"/>
    </row>
    <row r="439">
      <c r="C439" s="222"/>
    </row>
    <row r="440">
      <c r="C440" s="222"/>
    </row>
    <row r="441">
      <c r="C441" s="222"/>
    </row>
    <row r="442">
      <c r="C442" s="222"/>
    </row>
    <row r="443">
      <c r="C443" s="222"/>
    </row>
    <row r="444">
      <c r="C444" s="222"/>
    </row>
    <row r="445">
      <c r="C445" s="222"/>
    </row>
    <row r="446">
      <c r="C446" s="222"/>
    </row>
    <row r="447">
      <c r="C447" s="222"/>
    </row>
    <row r="448">
      <c r="C448" s="222"/>
    </row>
    <row r="449">
      <c r="C449" s="222"/>
    </row>
    <row r="450">
      <c r="C450" s="222"/>
    </row>
    <row r="451">
      <c r="C451" s="222"/>
    </row>
    <row r="452">
      <c r="C452" s="222"/>
    </row>
    <row r="453">
      <c r="C453" s="222"/>
    </row>
    <row r="454">
      <c r="C454" s="222"/>
    </row>
    <row r="455">
      <c r="C455" s="222"/>
    </row>
    <row r="456">
      <c r="C456" s="222"/>
    </row>
    <row r="457">
      <c r="C457" s="222"/>
    </row>
    <row r="458">
      <c r="C458" s="222"/>
    </row>
    <row r="459">
      <c r="C459" s="222"/>
    </row>
    <row r="460">
      <c r="C460" s="222"/>
    </row>
    <row r="461">
      <c r="C461" s="222"/>
    </row>
    <row r="462">
      <c r="C462" s="222"/>
    </row>
    <row r="463">
      <c r="C463" s="222"/>
    </row>
    <row r="464">
      <c r="C464" s="222"/>
    </row>
    <row r="465">
      <c r="C465" s="222"/>
    </row>
    <row r="466">
      <c r="C466" s="222"/>
    </row>
    <row r="467">
      <c r="C467" s="222"/>
    </row>
    <row r="468">
      <c r="C468" s="222"/>
    </row>
    <row r="469">
      <c r="C469" s="222"/>
    </row>
    <row r="470">
      <c r="C470" s="222"/>
    </row>
    <row r="471">
      <c r="C471" s="222"/>
    </row>
    <row r="472">
      <c r="C472" s="222"/>
    </row>
    <row r="473">
      <c r="C473" s="222"/>
    </row>
    <row r="474">
      <c r="C474" s="222"/>
    </row>
    <row r="475">
      <c r="C475" s="222"/>
    </row>
    <row r="476">
      <c r="C476" s="222"/>
    </row>
    <row r="477">
      <c r="C477" s="222"/>
    </row>
    <row r="478">
      <c r="C478" s="222"/>
    </row>
    <row r="479">
      <c r="C479" s="222"/>
    </row>
    <row r="480">
      <c r="C480" s="222"/>
    </row>
    <row r="481">
      <c r="C481" s="222"/>
    </row>
    <row r="482">
      <c r="C482" s="222"/>
    </row>
    <row r="483">
      <c r="C483" s="222"/>
    </row>
    <row r="484">
      <c r="C484" s="222"/>
    </row>
    <row r="485">
      <c r="C485" s="222"/>
    </row>
    <row r="486">
      <c r="C486" s="222"/>
    </row>
    <row r="487">
      <c r="C487" s="222"/>
    </row>
    <row r="488">
      <c r="C488" s="222"/>
    </row>
    <row r="489">
      <c r="C489" s="222"/>
    </row>
    <row r="490">
      <c r="C490" s="222"/>
    </row>
    <row r="491">
      <c r="C491" s="222"/>
    </row>
    <row r="492">
      <c r="C492" s="222"/>
    </row>
    <row r="493">
      <c r="C493" s="222"/>
    </row>
    <row r="494">
      <c r="C494" s="222"/>
    </row>
    <row r="495">
      <c r="C495" s="222"/>
    </row>
    <row r="496">
      <c r="C496" s="222"/>
    </row>
    <row r="497">
      <c r="C497" s="222"/>
    </row>
    <row r="498">
      <c r="C498" s="222"/>
    </row>
    <row r="499">
      <c r="C499" s="222"/>
    </row>
    <row r="500">
      <c r="C500" s="222"/>
    </row>
    <row r="501">
      <c r="C501" s="222"/>
    </row>
    <row r="502">
      <c r="C502" s="222"/>
    </row>
    <row r="503">
      <c r="C503" s="222"/>
    </row>
    <row r="504">
      <c r="C504" s="222"/>
    </row>
    <row r="505">
      <c r="C505" s="222"/>
    </row>
    <row r="506">
      <c r="C506" s="222"/>
    </row>
    <row r="507">
      <c r="C507" s="222"/>
    </row>
    <row r="508">
      <c r="C508" s="222"/>
    </row>
    <row r="509">
      <c r="C509" s="222"/>
    </row>
    <row r="510">
      <c r="C510" s="222"/>
    </row>
    <row r="511">
      <c r="C511" s="222"/>
    </row>
    <row r="512">
      <c r="C512" s="222"/>
    </row>
    <row r="513">
      <c r="C513" s="222"/>
    </row>
    <row r="514">
      <c r="C514" s="222"/>
    </row>
    <row r="515">
      <c r="C515" s="222"/>
    </row>
    <row r="516">
      <c r="C516" s="222"/>
    </row>
    <row r="517">
      <c r="C517" s="222"/>
    </row>
    <row r="518">
      <c r="C518" s="222"/>
    </row>
    <row r="519">
      <c r="C519" s="222"/>
    </row>
    <row r="520">
      <c r="C520" s="222"/>
    </row>
    <row r="521">
      <c r="C521" s="222"/>
    </row>
    <row r="522">
      <c r="C522" s="222"/>
    </row>
    <row r="523">
      <c r="C523" s="222"/>
    </row>
    <row r="524">
      <c r="C524" s="222"/>
    </row>
    <row r="525">
      <c r="C525" s="222"/>
    </row>
    <row r="526">
      <c r="C526" s="222"/>
    </row>
    <row r="527">
      <c r="C527" s="222"/>
    </row>
    <row r="528">
      <c r="C528" s="222"/>
    </row>
    <row r="529">
      <c r="C529" s="222"/>
    </row>
    <row r="530">
      <c r="C530" s="222"/>
    </row>
    <row r="531">
      <c r="C531" s="222"/>
    </row>
    <row r="532">
      <c r="C532" s="222"/>
    </row>
    <row r="533">
      <c r="C533" s="222"/>
    </row>
    <row r="534">
      <c r="C534" s="222"/>
    </row>
    <row r="535">
      <c r="C535" s="222"/>
    </row>
    <row r="536">
      <c r="C536" s="222"/>
    </row>
    <row r="537">
      <c r="C537" s="222"/>
    </row>
    <row r="538">
      <c r="C538" s="222"/>
    </row>
    <row r="539">
      <c r="C539" s="222"/>
    </row>
    <row r="540">
      <c r="C540" s="222"/>
    </row>
    <row r="541">
      <c r="C541" s="222"/>
    </row>
    <row r="542">
      <c r="C542" s="222"/>
    </row>
    <row r="543">
      <c r="C543" s="222"/>
    </row>
    <row r="544">
      <c r="C544" s="222"/>
    </row>
    <row r="545">
      <c r="C545" s="222"/>
    </row>
    <row r="546">
      <c r="C546" s="222"/>
    </row>
    <row r="547">
      <c r="C547" s="222"/>
    </row>
    <row r="548">
      <c r="C548" s="222"/>
    </row>
    <row r="549">
      <c r="C549" s="222"/>
    </row>
    <row r="550">
      <c r="C550" s="222"/>
    </row>
    <row r="551">
      <c r="C551" s="222"/>
    </row>
    <row r="552">
      <c r="C552" s="222"/>
    </row>
    <row r="553">
      <c r="C553" s="222"/>
    </row>
    <row r="554">
      <c r="C554" s="222"/>
    </row>
    <row r="555">
      <c r="C555" s="222"/>
    </row>
    <row r="556">
      <c r="C556" s="222"/>
    </row>
    <row r="557">
      <c r="C557" s="222"/>
    </row>
    <row r="558">
      <c r="C558" s="222"/>
    </row>
    <row r="559">
      <c r="C559" s="222"/>
    </row>
    <row r="560">
      <c r="C560" s="222"/>
    </row>
    <row r="561">
      <c r="C561" s="222"/>
    </row>
    <row r="562">
      <c r="C562" s="222"/>
    </row>
    <row r="563">
      <c r="C563" s="222"/>
    </row>
    <row r="564">
      <c r="C564" s="222"/>
    </row>
    <row r="565">
      <c r="C565" s="222"/>
    </row>
    <row r="566">
      <c r="C566" s="222"/>
    </row>
    <row r="567">
      <c r="C567" s="222"/>
    </row>
    <row r="568">
      <c r="C568" s="222"/>
    </row>
    <row r="569">
      <c r="C569" s="222"/>
    </row>
    <row r="570">
      <c r="C570" s="222"/>
    </row>
    <row r="571">
      <c r="C571" s="222"/>
    </row>
    <row r="572">
      <c r="C572" s="222"/>
    </row>
    <row r="573">
      <c r="C573" s="222"/>
    </row>
    <row r="574">
      <c r="C574" s="222"/>
    </row>
    <row r="575">
      <c r="C575" s="222"/>
    </row>
    <row r="576">
      <c r="C576" s="222"/>
    </row>
    <row r="577">
      <c r="C577" s="222"/>
    </row>
    <row r="578">
      <c r="C578" s="222"/>
    </row>
    <row r="579">
      <c r="C579" s="222"/>
    </row>
    <row r="580">
      <c r="C580" s="222"/>
    </row>
    <row r="581">
      <c r="C581" s="222"/>
    </row>
    <row r="582">
      <c r="C582" s="222"/>
    </row>
    <row r="583">
      <c r="C583" s="222"/>
    </row>
    <row r="584">
      <c r="C584" s="222"/>
    </row>
    <row r="585">
      <c r="C585" s="222"/>
    </row>
    <row r="586">
      <c r="C586" s="222"/>
    </row>
    <row r="587">
      <c r="C587" s="222"/>
    </row>
    <row r="588">
      <c r="C588" s="222"/>
    </row>
    <row r="589">
      <c r="C589" s="222"/>
    </row>
    <row r="590">
      <c r="C590" s="222"/>
    </row>
    <row r="591">
      <c r="C591" s="222"/>
    </row>
    <row r="592">
      <c r="C592" s="222"/>
    </row>
    <row r="593">
      <c r="C593" s="222"/>
    </row>
    <row r="594">
      <c r="C594" s="222"/>
    </row>
    <row r="595">
      <c r="C595" s="222"/>
    </row>
    <row r="596">
      <c r="C596" s="222"/>
    </row>
    <row r="597">
      <c r="C597" s="222"/>
    </row>
    <row r="598">
      <c r="C598" s="222"/>
    </row>
    <row r="599">
      <c r="C599" s="222"/>
    </row>
    <row r="600">
      <c r="C600" s="222"/>
    </row>
    <row r="601">
      <c r="C601" s="222"/>
    </row>
    <row r="602">
      <c r="C602" s="222"/>
    </row>
    <row r="603">
      <c r="C603" s="222"/>
    </row>
    <row r="604">
      <c r="C604" s="222"/>
    </row>
    <row r="605">
      <c r="C605" s="222"/>
    </row>
    <row r="606">
      <c r="C606" s="222"/>
    </row>
    <row r="607">
      <c r="C607" s="222"/>
    </row>
    <row r="608">
      <c r="C608" s="222"/>
    </row>
    <row r="609">
      <c r="C609" s="222"/>
    </row>
    <row r="610">
      <c r="C610" s="222"/>
    </row>
    <row r="611">
      <c r="C611" s="222"/>
    </row>
    <row r="612">
      <c r="C612" s="222"/>
    </row>
    <row r="613">
      <c r="C613" s="222"/>
    </row>
    <row r="614">
      <c r="C614" s="222"/>
    </row>
    <row r="615">
      <c r="C615" s="222"/>
    </row>
    <row r="616">
      <c r="C616" s="222"/>
    </row>
    <row r="617">
      <c r="C617" s="222"/>
    </row>
    <row r="618">
      <c r="C618" s="222"/>
    </row>
    <row r="619">
      <c r="C619" s="222"/>
    </row>
    <row r="620">
      <c r="C620" s="222"/>
    </row>
    <row r="621">
      <c r="C621" s="222"/>
    </row>
    <row r="622">
      <c r="C622" s="222"/>
    </row>
    <row r="623">
      <c r="C623" s="222"/>
    </row>
    <row r="624">
      <c r="C624" s="222"/>
    </row>
    <row r="625">
      <c r="C625" s="222"/>
    </row>
    <row r="626">
      <c r="C626" s="222"/>
    </row>
    <row r="627">
      <c r="C627" s="222"/>
    </row>
    <row r="628">
      <c r="C628" s="222"/>
    </row>
    <row r="629">
      <c r="C629" s="222"/>
    </row>
    <row r="630">
      <c r="C630" s="222"/>
    </row>
    <row r="631">
      <c r="C631" s="222"/>
    </row>
    <row r="632">
      <c r="C632" s="222"/>
    </row>
    <row r="633">
      <c r="C633" s="222"/>
    </row>
    <row r="634">
      <c r="C634" s="222"/>
    </row>
    <row r="635">
      <c r="C635" s="222"/>
    </row>
    <row r="636">
      <c r="C636" s="222"/>
    </row>
    <row r="637">
      <c r="C637" s="222"/>
    </row>
    <row r="638">
      <c r="C638" s="222"/>
    </row>
    <row r="639">
      <c r="C639" s="222"/>
    </row>
    <row r="640">
      <c r="C640" s="222"/>
    </row>
    <row r="641">
      <c r="C641" s="222"/>
    </row>
    <row r="642">
      <c r="C642" s="222"/>
    </row>
    <row r="643">
      <c r="C643" s="222"/>
    </row>
    <row r="644">
      <c r="C644" s="222"/>
    </row>
    <row r="645">
      <c r="C645" s="222"/>
    </row>
    <row r="646">
      <c r="C646" s="222"/>
    </row>
    <row r="647">
      <c r="C647" s="222"/>
    </row>
    <row r="648">
      <c r="C648" s="222"/>
    </row>
    <row r="649">
      <c r="C649" s="222"/>
    </row>
    <row r="650">
      <c r="C650" s="222"/>
    </row>
    <row r="651">
      <c r="C651" s="222"/>
    </row>
    <row r="652">
      <c r="C652" s="222"/>
    </row>
    <row r="653">
      <c r="C653" s="222"/>
    </row>
    <row r="654">
      <c r="C654" s="222"/>
    </row>
    <row r="655">
      <c r="C655" s="222"/>
    </row>
    <row r="656">
      <c r="C656" s="222"/>
    </row>
    <row r="657">
      <c r="C657" s="222"/>
    </row>
    <row r="658">
      <c r="C658" s="222"/>
    </row>
    <row r="659">
      <c r="C659" s="222"/>
    </row>
    <row r="660">
      <c r="C660" s="222"/>
    </row>
    <row r="661">
      <c r="C661" s="222"/>
    </row>
    <row r="662">
      <c r="C662" s="222"/>
    </row>
    <row r="663">
      <c r="C663" s="222"/>
    </row>
    <row r="664">
      <c r="C664" s="222"/>
    </row>
    <row r="665">
      <c r="C665" s="222"/>
    </row>
    <row r="666">
      <c r="C666" s="222"/>
    </row>
    <row r="667">
      <c r="C667" s="222"/>
    </row>
    <row r="668">
      <c r="C668" s="222"/>
    </row>
    <row r="669">
      <c r="C669" s="222"/>
    </row>
    <row r="670">
      <c r="C670" s="222"/>
    </row>
    <row r="671">
      <c r="C671" s="222"/>
    </row>
    <row r="672">
      <c r="C672" s="222"/>
    </row>
    <row r="673">
      <c r="C673" s="222"/>
    </row>
    <row r="674">
      <c r="C674" s="222"/>
    </row>
    <row r="675">
      <c r="C675" s="222"/>
    </row>
    <row r="676">
      <c r="C676" s="222"/>
    </row>
    <row r="677">
      <c r="C677" s="222"/>
    </row>
    <row r="678">
      <c r="C678" s="222"/>
    </row>
    <row r="679">
      <c r="C679" s="222"/>
    </row>
    <row r="680">
      <c r="C680" s="222"/>
    </row>
    <row r="681">
      <c r="C681" s="222"/>
    </row>
    <row r="682">
      <c r="C682" s="222"/>
    </row>
    <row r="683">
      <c r="C683" s="222"/>
    </row>
    <row r="684">
      <c r="C684" s="222"/>
    </row>
    <row r="685">
      <c r="C685" s="222"/>
    </row>
    <row r="686">
      <c r="C686" s="222"/>
    </row>
    <row r="687">
      <c r="C687" s="222"/>
    </row>
    <row r="688">
      <c r="C688" s="222"/>
    </row>
    <row r="689">
      <c r="C689" s="222"/>
    </row>
    <row r="690">
      <c r="C690" s="222"/>
    </row>
    <row r="691">
      <c r="C691" s="222"/>
    </row>
    <row r="692">
      <c r="C692" s="222"/>
    </row>
    <row r="693">
      <c r="C693" s="222"/>
    </row>
    <row r="694">
      <c r="C694" s="222"/>
    </row>
    <row r="695">
      <c r="C695" s="222"/>
    </row>
    <row r="696">
      <c r="C696" s="222"/>
    </row>
    <row r="697">
      <c r="C697" s="222"/>
    </row>
    <row r="698">
      <c r="C698" s="222"/>
    </row>
    <row r="699">
      <c r="C699" s="222"/>
    </row>
    <row r="700">
      <c r="C700" s="222"/>
    </row>
    <row r="701">
      <c r="C701" s="222"/>
    </row>
    <row r="702">
      <c r="C702" s="222"/>
    </row>
    <row r="703">
      <c r="C703" s="222"/>
    </row>
    <row r="704">
      <c r="C704" s="222"/>
    </row>
    <row r="705">
      <c r="C705" s="222"/>
    </row>
    <row r="706">
      <c r="C706" s="222"/>
    </row>
    <row r="707">
      <c r="C707" s="222"/>
    </row>
    <row r="708">
      <c r="C708" s="222"/>
    </row>
    <row r="709">
      <c r="C709" s="222"/>
    </row>
    <row r="710">
      <c r="C710" s="222"/>
    </row>
    <row r="711">
      <c r="C711" s="222"/>
    </row>
    <row r="712">
      <c r="C712" s="222"/>
    </row>
    <row r="713">
      <c r="C713" s="222"/>
    </row>
    <row r="714">
      <c r="C714" s="222"/>
    </row>
    <row r="715">
      <c r="C715" s="222"/>
    </row>
    <row r="716">
      <c r="C716" s="222"/>
    </row>
    <row r="717">
      <c r="C717" s="222"/>
    </row>
    <row r="718">
      <c r="C718" s="222"/>
    </row>
    <row r="719">
      <c r="C719" s="222"/>
    </row>
    <row r="720">
      <c r="C720" s="222"/>
    </row>
    <row r="721">
      <c r="C721" s="222"/>
    </row>
    <row r="722">
      <c r="C722" s="222"/>
    </row>
    <row r="723">
      <c r="C723" s="222"/>
    </row>
    <row r="724">
      <c r="C724" s="222"/>
    </row>
    <row r="725">
      <c r="C725" s="222"/>
    </row>
    <row r="726">
      <c r="C726" s="222"/>
    </row>
    <row r="727">
      <c r="C727" s="222"/>
    </row>
    <row r="728">
      <c r="C728" s="222"/>
    </row>
    <row r="729">
      <c r="C729" s="222"/>
    </row>
    <row r="730">
      <c r="C730" s="222"/>
    </row>
    <row r="731">
      <c r="C731" s="222"/>
    </row>
    <row r="732">
      <c r="C732" s="222"/>
    </row>
    <row r="733">
      <c r="C733" s="222"/>
    </row>
    <row r="734">
      <c r="C734" s="222"/>
    </row>
    <row r="735">
      <c r="C735" s="222"/>
    </row>
    <row r="736">
      <c r="C736" s="222"/>
    </row>
    <row r="737">
      <c r="C737" s="222"/>
    </row>
    <row r="738">
      <c r="C738" s="222"/>
    </row>
    <row r="739">
      <c r="C739" s="222"/>
    </row>
    <row r="740">
      <c r="C740" s="222"/>
    </row>
    <row r="741">
      <c r="C741" s="222"/>
    </row>
    <row r="742">
      <c r="C742" s="222"/>
    </row>
    <row r="743">
      <c r="C743" s="222"/>
    </row>
    <row r="744">
      <c r="C744" s="222"/>
    </row>
    <row r="745">
      <c r="C745" s="222"/>
    </row>
    <row r="746">
      <c r="C746" s="222"/>
    </row>
    <row r="747">
      <c r="C747" s="222"/>
    </row>
    <row r="748">
      <c r="C748" s="222"/>
    </row>
    <row r="749">
      <c r="C749" s="222"/>
    </row>
    <row r="750">
      <c r="C750" s="222"/>
    </row>
    <row r="751">
      <c r="C751" s="222"/>
    </row>
    <row r="752">
      <c r="C752" s="222"/>
    </row>
    <row r="753">
      <c r="C753" s="222"/>
    </row>
    <row r="754">
      <c r="C754" s="222"/>
    </row>
    <row r="755">
      <c r="C755" s="222"/>
    </row>
    <row r="756">
      <c r="C756" s="222"/>
    </row>
    <row r="757">
      <c r="C757" s="222"/>
    </row>
    <row r="758">
      <c r="C758" s="222"/>
    </row>
    <row r="759">
      <c r="C759" s="222"/>
    </row>
    <row r="760">
      <c r="C760" s="222"/>
    </row>
    <row r="761">
      <c r="C761" s="222"/>
    </row>
    <row r="762">
      <c r="C762" s="222"/>
    </row>
    <row r="763">
      <c r="C763" s="222"/>
    </row>
    <row r="764">
      <c r="C764" s="222"/>
    </row>
    <row r="765">
      <c r="C765" s="222"/>
    </row>
    <row r="766">
      <c r="C766" s="222"/>
    </row>
    <row r="767">
      <c r="C767" s="222"/>
    </row>
    <row r="768">
      <c r="C768" s="222"/>
    </row>
    <row r="769">
      <c r="C769" s="222"/>
    </row>
    <row r="770">
      <c r="C770" s="222"/>
    </row>
    <row r="771">
      <c r="C771" s="222"/>
    </row>
    <row r="772">
      <c r="C772" s="222"/>
    </row>
    <row r="773">
      <c r="C773" s="222"/>
    </row>
    <row r="774">
      <c r="C774" s="222"/>
    </row>
    <row r="775">
      <c r="C775" s="222"/>
    </row>
    <row r="776">
      <c r="C776" s="222"/>
    </row>
    <row r="777">
      <c r="C777" s="222"/>
    </row>
    <row r="778">
      <c r="C778" s="222"/>
    </row>
    <row r="779">
      <c r="C779" s="222"/>
    </row>
    <row r="780">
      <c r="C780" s="222"/>
    </row>
    <row r="781">
      <c r="C781" s="222"/>
    </row>
    <row r="782">
      <c r="C782" s="222"/>
    </row>
    <row r="783">
      <c r="C783" s="222"/>
    </row>
    <row r="784">
      <c r="C784" s="222"/>
    </row>
    <row r="785">
      <c r="C785" s="222"/>
    </row>
    <row r="786">
      <c r="C786" s="222"/>
    </row>
    <row r="787">
      <c r="C787" s="222"/>
    </row>
    <row r="788">
      <c r="C788" s="222"/>
    </row>
    <row r="789">
      <c r="C789" s="222"/>
    </row>
    <row r="790">
      <c r="C790" s="222"/>
    </row>
    <row r="791">
      <c r="C791" s="222"/>
    </row>
    <row r="792">
      <c r="C792" s="222"/>
    </row>
    <row r="793">
      <c r="C793" s="222"/>
    </row>
    <row r="794">
      <c r="C794" s="222"/>
    </row>
    <row r="795">
      <c r="C795" s="222"/>
    </row>
    <row r="796">
      <c r="C796" s="222"/>
    </row>
    <row r="797">
      <c r="C797" s="222"/>
    </row>
    <row r="798">
      <c r="C798" s="222"/>
    </row>
    <row r="799">
      <c r="C799" s="222"/>
    </row>
    <row r="800">
      <c r="C800" s="222"/>
    </row>
    <row r="801">
      <c r="C801" s="222"/>
    </row>
    <row r="802">
      <c r="C802" s="222"/>
    </row>
    <row r="803">
      <c r="C803" s="222"/>
    </row>
    <row r="804">
      <c r="C804" s="222"/>
    </row>
    <row r="805">
      <c r="C805" s="222"/>
    </row>
    <row r="806">
      <c r="C806" s="222"/>
    </row>
    <row r="807">
      <c r="C807" s="222"/>
    </row>
    <row r="808">
      <c r="C808" s="222"/>
    </row>
    <row r="809">
      <c r="C809" s="222"/>
    </row>
    <row r="810">
      <c r="C810" s="222"/>
    </row>
    <row r="811">
      <c r="C811" s="222"/>
    </row>
    <row r="812">
      <c r="C812" s="222"/>
    </row>
    <row r="813">
      <c r="C813" s="222"/>
    </row>
    <row r="814">
      <c r="C814" s="222"/>
    </row>
    <row r="815">
      <c r="C815" s="222"/>
    </row>
    <row r="816">
      <c r="C816" s="222"/>
    </row>
    <row r="817">
      <c r="C817" s="222"/>
    </row>
    <row r="818">
      <c r="C818" s="222"/>
    </row>
    <row r="819">
      <c r="C819" s="222"/>
    </row>
    <row r="820">
      <c r="C820" s="222"/>
    </row>
    <row r="821">
      <c r="C821" s="222"/>
    </row>
    <row r="822">
      <c r="C822" s="222"/>
    </row>
    <row r="823">
      <c r="C823" s="222"/>
    </row>
    <row r="824">
      <c r="C824" s="222"/>
    </row>
    <row r="825">
      <c r="C825" s="222"/>
    </row>
    <row r="826">
      <c r="C826" s="222"/>
    </row>
    <row r="827">
      <c r="C827" s="222"/>
    </row>
    <row r="828">
      <c r="C828" s="222"/>
    </row>
    <row r="829">
      <c r="C829" s="222"/>
    </row>
    <row r="830">
      <c r="C830" s="222"/>
    </row>
    <row r="831">
      <c r="C831" s="222"/>
    </row>
    <row r="832">
      <c r="C832" s="222"/>
    </row>
    <row r="833">
      <c r="C833" s="222"/>
    </row>
    <row r="834">
      <c r="C834" s="222"/>
    </row>
    <row r="835">
      <c r="C835" s="222"/>
    </row>
    <row r="836">
      <c r="C836" s="222"/>
    </row>
    <row r="837">
      <c r="C837" s="222"/>
    </row>
    <row r="838">
      <c r="C838" s="222"/>
    </row>
    <row r="839">
      <c r="C839" s="222"/>
    </row>
    <row r="840">
      <c r="C840" s="222"/>
    </row>
    <row r="841">
      <c r="C841" s="222"/>
    </row>
    <row r="842">
      <c r="C842" s="222"/>
    </row>
    <row r="843">
      <c r="C843" s="222"/>
    </row>
    <row r="844">
      <c r="C844" s="222"/>
    </row>
    <row r="845">
      <c r="C845" s="222"/>
    </row>
    <row r="846">
      <c r="C846" s="222"/>
    </row>
    <row r="847">
      <c r="C847" s="222"/>
    </row>
    <row r="848">
      <c r="C848" s="222"/>
    </row>
    <row r="849">
      <c r="C849" s="222"/>
    </row>
    <row r="850">
      <c r="C850" s="222"/>
    </row>
    <row r="851">
      <c r="C851" s="222"/>
    </row>
    <row r="852">
      <c r="C852" s="222"/>
    </row>
    <row r="853">
      <c r="C853" s="222"/>
    </row>
    <row r="854">
      <c r="C854" s="222"/>
    </row>
    <row r="855">
      <c r="C855" s="222"/>
    </row>
    <row r="856">
      <c r="C856" s="222"/>
    </row>
    <row r="857">
      <c r="C857" s="222"/>
    </row>
    <row r="858">
      <c r="C858" s="222"/>
    </row>
    <row r="859">
      <c r="C859" s="222"/>
    </row>
    <row r="860">
      <c r="C860" s="222"/>
    </row>
    <row r="861">
      <c r="C861" s="222"/>
    </row>
    <row r="862">
      <c r="C862" s="222"/>
    </row>
    <row r="863">
      <c r="C863" s="222"/>
    </row>
    <row r="864">
      <c r="C864" s="222"/>
    </row>
    <row r="865">
      <c r="C865" s="222"/>
    </row>
    <row r="866">
      <c r="C866" s="222"/>
    </row>
    <row r="867">
      <c r="C867" s="222"/>
    </row>
    <row r="868">
      <c r="C868" s="222"/>
    </row>
    <row r="869">
      <c r="C869" s="222"/>
    </row>
    <row r="870">
      <c r="C870" s="222"/>
    </row>
    <row r="871">
      <c r="C871" s="222"/>
    </row>
    <row r="872">
      <c r="C872" s="222"/>
    </row>
    <row r="873">
      <c r="C873" s="222"/>
    </row>
    <row r="874">
      <c r="C874" s="222"/>
    </row>
    <row r="875">
      <c r="C875" s="222"/>
    </row>
    <row r="876">
      <c r="C876" s="222"/>
    </row>
    <row r="877">
      <c r="C877" s="222"/>
    </row>
    <row r="878">
      <c r="C878" s="222"/>
    </row>
    <row r="879">
      <c r="C879" s="222"/>
    </row>
    <row r="880">
      <c r="C880" s="222"/>
    </row>
    <row r="881">
      <c r="C881" s="222"/>
    </row>
    <row r="882">
      <c r="C882" s="222"/>
    </row>
    <row r="883">
      <c r="C883" s="222"/>
    </row>
    <row r="884">
      <c r="C884" s="222"/>
    </row>
    <row r="885">
      <c r="C885" s="222"/>
    </row>
    <row r="886">
      <c r="C886" s="222"/>
    </row>
    <row r="887">
      <c r="C887" s="222"/>
    </row>
    <row r="888">
      <c r="C888" s="222"/>
    </row>
    <row r="889">
      <c r="C889" s="222"/>
    </row>
    <row r="890">
      <c r="C890" s="222"/>
    </row>
    <row r="891">
      <c r="C891" s="222"/>
    </row>
    <row r="892">
      <c r="C892" s="222"/>
    </row>
    <row r="893">
      <c r="C893" s="222"/>
    </row>
    <row r="894">
      <c r="C894" s="222"/>
    </row>
    <row r="895">
      <c r="C895" s="222"/>
    </row>
    <row r="896">
      <c r="C896" s="222"/>
    </row>
    <row r="897">
      <c r="C897" s="222"/>
    </row>
    <row r="898">
      <c r="C898" s="222"/>
    </row>
    <row r="899">
      <c r="C899" s="222"/>
    </row>
    <row r="900">
      <c r="C900" s="222"/>
    </row>
    <row r="901">
      <c r="C901" s="222"/>
    </row>
    <row r="902">
      <c r="C902" s="222"/>
    </row>
    <row r="903">
      <c r="C903" s="222"/>
    </row>
    <row r="904">
      <c r="C904" s="222"/>
    </row>
    <row r="905">
      <c r="C905" s="222"/>
    </row>
    <row r="906">
      <c r="C906" s="222"/>
    </row>
    <row r="907">
      <c r="C907" s="222"/>
    </row>
    <row r="908">
      <c r="C908" s="222"/>
    </row>
    <row r="909">
      <c r="C909" s="222"/>
    </row>
    <row r="910">
      <c r="C910" s="222"/>
    </row>
    <row r="911">
      <c r="C911" s="222"/>
    </row>
    <row r="912">
      <c r="C912" s="222"/>
    </row>
    <row r="913">
      <c r="C913" s="222"/>
    </row>
    <row r="914">
      <c r="C914" s="222"/>
    </row>
    <row r="915">
      <c r="C915" s="222"/>
    </row>
    <row r="916">
      <c r="C916" s="222"/>
    </row>
    <row r="917">
      <c r="C917" s="222"/>
    </row>
    <row r="918">
      <c r="C918" s="222"/>
    </row>
    <row r="919">
      <c r="C919" s="222"/>
    </row>
    <row r="920">
      <c r="C920" s="222"/>
    </row>
    <row r="921">
      <c r="C921" s="222"/>
    </row>
    <row r="922">
      <c r="C922" s="222"/>
    </row>
    <row r="923">
      <c r="C923" s="222"/>
    </row>
    <row r="924">
      <c r="C924" s="222"/>
    </row>
    <row r="925">
      <c r="C925" s="222"/>
    </row>
    <row r="926">
      <c r="C926" s="222"/>
    </row>
    <row r="927">
      <c r="C927" s="222"/>
    </row>
    <row r="928">
      <c r="C928" s="222"/>
    </row>
    <row r="929">
      <c r="C929" s="222"/>
    </row>
    <row r="930">
      <c r="C930" s="222"/>
    </row>
    <row r="931">
      <c r="C931" s="222"/>
    </row>
    <row r="932">
      <c r="C932" s="222"/>
    </row>
    <row r="933">
      <c r="C933" s="222"/>
    </row>
    <row r="934">
      <c r="C934" s="222"/>
    </row>
    <row r="935">
      <c r="C935" s="222"/>
    </row>
    <row r="936">
      <c r="C936" s="222"/>
    </row>
    <row r="937">
      <c r="C937" s="222"/>
    </row>
    <row r="938">
      <c r="C938" s="222"/>
    </row>
    <row r="939">
      <c r="C939" s="222"/>
    </row>
    <row r="940">
      <c r="C940" s="222"/>
    </row>
    <row r="941">
      <c r="C941" s="222"/>
    </row>
    <row r="942">
      <c r="C942" s="222"/>
    </row>
    <row r="943">
      <c r="C943" s="222"/>
    </row>
    <row r="944">
      <c r="C944" s="222"/>
    </row>
    <row r="945">
      <c r="C945" s="222"/>
    </row>
    <row r="946">
      <c r="C946" s="222"/>
    </row>
    <row r="947">
      <c r="C947" s="222"/>
    </row>
    <row r="948">
      <c r="C948" s="222"/>
    </row>
    <row r="949">
      <c r="C949" s="222"/>
    </row>
    <row r="950">
      <c r="C950" s="222"/>
    </row>
    <row r="951">
      <c r="C951" s="222"/>
    </row>
    <row r="952">
      <c r="C952" s="222"/>
    </row>
    <row r="953">
      <c r="C953" s="222"/>
    </row>
    <row r="954">
      <c r="C954" s="222"/>
    </row>
    <row r="955">
      <c r="C955" s="222"/>
    </row>
    <row r="956">
      <c r="C956" s="222"/>
    </row>
    <row r="957">
      <c r="C957" s="222"/>
    </row>
    <row r="958">
      <c r="C958" s="222"/>
    </row>
    <row r="959">
      <c r="C959" s="222"/>
    </row>
    <row r="960">
      <c r="C960" s="222"/>
    </row>
    <row r="961">
      <c r="C961" s="222"/>
    </row>
    <row r="962">
      <c r="C962" s="222"/>
    </row>
    <row r="963">
      <c r="C963" s="222"/>
    </row>
    <row r="964">
      <c r="C964" s="222"/>
    </row>
    <row r="965">
      <c r="C965" s="222"/>
    </row>
    <row r="966">
      <c r="C966" s="222"/>
    </row>
    <row r="967">
      <c r="C967" s="222"/>
    </row>
    <row r="968">
      <c r="C968" s="222"/>
    </row>
    <row r="969">
      <c r="C969" s="222"/>
    </row>
    <row r="970">
      <c r="C970" s="222"/>
    </row>
    <row r="971">
      <c r="C971" s="222"/>
    </row>
    <row r="972">
      <c r="C972" s="222"/>
    </row>
    <row r="973">
      <c r="C973" s="222"/>
    </row>
    <row r="974">
      <c r="C974" s="222"/>
    </row>
    <row r="975">
      <c r="C975" s="222"/>
    </row>
    <row r="976">
      <c r="C976" s="222"/>
    </row>
    <row r="977">
      <c r="C977" s="222"/>
    </row>
    <row r="978">
      <c r="C978" s="222"/>
    </row>
    <row r="979">
      <c r="C979" s="222"/>
    </row>
    <row r="980">
      <c r="C980" s="222"/>
    </row>
    <row r="981">
      <c r="C981" s="222"/>
    </row>
    <row r="982">
      <c r="C982" s="222"/>
    </row>
    <row r="983">
      <c r="C983" s="222"/>
    </row>
    <row r="984">
      <c r="C984" s="222"/>
    </row>
    <row r="985">
      <c r="C985" s="222"/>
    </row>
    <row r="986">
      <c r="C986" s="222"/>
    </row>
    <row r="987">
      <c r="C987" s="222"/>
    </row>
    <row r="988">
      <c r="C988" s="222"/>
    </row>
    <row r="989">
      <c r="C989" s="222"/>
    </row>
    <row r="990">
      <c r="C990" s="222"/>
    </row>
    <row r="991">
      <c r="C991" s="222"/>
    </row>
    <row r="992">
      <c r="C992" s="222"/>
    </row>
    <row r="993">
      <c r="C993" s="222"/>
    </row>
    <row r="994">
      <c r="C994" s="222"/>
    </row>
    <row r="995">
      <c r="C995" s="222"/>
    </row>
    <row r="996">
      <c r="C996" s="222"/>
    </row>
    <row r="997">
      <c r="C997" s="222"/>
    </row>
    <row r="998">
      <c r="C998" s="222"/>
    </row>
    <row r="999">
      <c r="C999" s="222"/>
    </row>
    <row r="1000">
      <c r="C1000" s="222"/>
    </row>
    <row r="1001">
      <c r="C1001" s="222"/>
    </row>
    <row r="1002">
      <c r="C1002" s="222"/>
    </row>
    <row r="1003">
      <c r="C1003" s="222"/>
    </row>
    <row r="1004">
      <c r="C1004" s="222"/>
    </row>
    <row r="1005">
      <c r="C1005" s="222"/>
    </row>
    <row r="1006">
      <c r="C1006" s="222"/>
    </row>
    <row r="1007">
      <c r="C1007" s="222"/>
    </row>
    <row r="1008">
      <c r="C1008" s="22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2024-04-19T05:23:16Z</dcterms:created>
  <dc:creator>Lukman Prabowo</dc:creator>
</cp:coreProperties>
</file>